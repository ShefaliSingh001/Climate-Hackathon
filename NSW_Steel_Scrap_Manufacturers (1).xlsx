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70c9673e6a445d" /></Relationships>
</file>

<file path=xl/workbook.xml><?xml version="1.0" encoding="utf-8"?>
<x:workbook xmlns:x="http://schemas.openxmlformats.org/spreadsheetml/2006/main">
  <x:sheets>
    <x:sheet xmlns:r="http://schemas.openxmlformats.org/officeDocument/2006/relationships" name="Manufacturers" sheetId="1" r:id="R60fa6c5fb95d4d18"/>
    <x:sheet xmlns:r="http://schemas.openxmlformats.org/officeDocument/2006/relationships" name="Sources" sheetId="2" r:id="R7824244512ad410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0"/>
    <x:numFmt numFmtId="202" formatCode="dd mmm yyyy"/>
    <x:numFmt numFmtId="203" formatCode="&quot;A$&quot;#,##0"/>
    <x:numFmt numFmtId="204" formatCode="0.000000"/>
  </x:numFmts>
  <x:fonts count="8">
    <x:font>
      <x:sz val="11"/>
      <x:name val="Carlito"/>
    </x:font>
    <x:font>
      <x:sz val="10"/>
      <x:color rgb="FF233A32"/>
      <x:name val="Arial"/>
    </x:font>
    <x:font>
      <x:b/>
      <x:sz val="12"/>
      <x:color rgb="FFFFFFFF"/>
      <x:name val="Arial"/>
    </x:font>
    <x:font>
      <x:b/>
      <x:sz val="11"/>
      <x:color rgb="FF784900"/>
      <x:name val="Arial"/>
    </x:font>
    <x:font>
      <x:b/>
      <x:sz val="10"/>
      <x:color rgb="FFFFFFFF"/>
      <x:name val="Arial"/>
    </x:font>
    <x:font>
      <x:sz val="10"/>
      <x:color rgb="FF785A2B"/>
      <x:name val="Arial"/>
    </x:font>
    <x:font>
      <x:sz val="10"/>
      <x:color rgb="FF1C5FA1"/>
      <x:name val="Arial"/>
    </x:font>
    <x:font>
      <x:sz val="11"/>
      <x:color rgb="FF233A32"/>
      <x:name val="Arial"/>
    </x:font>
  </x:fonts>
  <x:fills count="9">
    <x:fill>
      <x:patternFill patternType="none"/>
    </x:fill>
    <x:fill>
      <x:patternFill patternType="gray125"/>
    </x:fill>
    <x:fill>
      <x:patternFill patternType="solid">
        <x:fgColor rgb="FF174B3E"/>
      </x:patternFill>
    </x:fill>
    <x:fill>
      <x:patternFill patternType="solid">
        <x:fgColor rgb="FFFFF0D0"/>
      </x:patternFill>
    </x:fill>
    <x:fill>
      <x:patternFill patternType="solid">
        <x:fgColor rgb="FF315E4E"/>
      </x:patternFill>
    </x:fill>
    <x:fill>
      <x:patternFill patternType="solid">
        <x:fgColor rgb="FF776038"/>
      </x:patternFill>
    </x:fill>
    <x:fill>
      <x:patternFill patternType="solid">
        <x:fgColor rgb="FFF2F6F3"/>
      </x:patternFill>
    </x:fill>
    <x:fill>
      <x:patternFill patternType="solid">
        <x:fgColor rgb="FFFFF4DF"/>
      </x:patternFill>
    </x:fill>
    <x:fill>
      <x:patternFill patternType="solid">
        <x:fgColor rgb="FF4E6F63"/>
      </x:patternFill>
    </x:fill>
  </x:fills>
  <x:borders count="1">
    <x:border>
      <x:left/>
      <x:right/>
      <x:top/>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center" vertical="center" wrapText="1"/>
    </x:xf>
    <x:xf numFmtId="202" fontId="1" fillId="0" borderId="0" xfId="0" applyNumberFormat="1" applyFont="1" applyFill="1" applyBorder="1" applyAlignment="1">
      <x:alignment horizontal="center" vertical="center" wrapText="1"/>
    </x:xf>
    <x:xf numFmtId="203"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201" fontId="5" fillId="0" borderId="0" xfId="0" applyNumberFormat="1" applyFont="1" applyFill="1" applyBorder="1" applyAlignment="1">
      <x:alignment horizontal="center" vertical="center" wrapText="1"/>
    </x:xf>
    <x:xf numFmtId="203" fontId="5" fillId="0" borderId="0" xfId="0" applyNumberFormat="1" applyFont="1" applyFill="1" applyBorder="1" applyAlignment="1">
      <x:alignment vertical="center" wrapText="1"/>
    </x:xf>
    <x:xf numFmtId="202" fontId="5" fillId="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200" fontId="1" fillId="6"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201" fontId="5" fillId="6" borderId="0" xfId="0" applyNumberFormat="1" applyFont="1" applyFill="1" applyBorder="1" applyAlignment="1">
      <x:alignment horizontal="center" vertical="center" wrapText="1"/>
    </x:xf>
    <x:xf numFmtId="203" fontId="5" fillId="6" borderId="0" xfId="0" applyNumberFormat="1" applyFont="1" applyFill="1" applyBorder="1" applyAlignment="1">
      <x:alignment vertical="center" wrapText="1"/>
    </x:xf>
    <x:xf numFmtId="202" fontId="5" fillId="6" borderId="0" xfId="0" applyNumberFormat="1" applyFont="1" applyFill="1" applyBorder="1" applyAlignment="1">
      <x:alignment horizontal="center" vertical="center" wrapText="1"/>
    </x:xf>
    <x:xf numFmtId="0" fontId="6" fillId="6"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5ed2f5df99486a" /><Relationship Type="http://schemas.openxmlformats.org/officeDocument/2006/relationships/theme" Target="/xl/theme/theme1.xml" Id="Rd434d6415f8443c2" /><Relationship Type="http://schemas.openxmlformats.org/officeDocument/2006/relationships/sharedStrings" Target="/xl/sharedStrings.xml" Id="Rcf8dbff3f75c4c76" /><Relationship Type="http://schemas.openxmlformats.org/officeDocument/2006/relationships/worksheet" Target="/xl/worksheets/sheet1.xml" Id="R60fa6c5fb95d4d18" /><Relationship Type="http://schemas.openxmlformats.org/officeDocument/2006/relationships/worksheet" Target="/xl/worksheets/sheet2.xml" Id="R7824244512ad4103" /></Relationships>
</file>

<file path=xl/tables/table1.xml><?xml version="1.0" encoding="utf-8"?>
<x:table xmlns:x="http://schemas.openxmlformats.org/spreadsheetml/2006/main" id="1" name="ManufacturersScenarioTable" displayName="ManufacturersScenarioTable" ref="A4:O65" headerRowCount="1" totalsRowCount="0" totalsRowShown="0">
  <x:autoFilter ref="A4:O65"/>
  <x:tableColumns count="15">
    <x:tableColumn id="1" name="Company / business"/>
    <x:tableColumn id="2" name="ABN"/>
    <x:tableColumn id="3" name="NSW locality"/>
    <x:tableColumn id="4" name="NSW address"/>
    <x:tableColumn id="5" name="Postcode"/>
    <x:tableColumn id="6" name="Required material"/>
    <x:tableColumn id="7" name="Making with material"/>
    <x:tableColumn id="8" name="Required quantity (tonnes)"/>
    <x:tableColumn id="9" name="Manufacturer budget (AUD)"/>
    <x:tableColumn id="10" name="Timeframe"/>
    <x:tableColumn id="11" name="Output grade"/>
    <x:tableColumn id="12" name="Purchase period start"/>
    <x:tableColumn id="13" name="Purchase period end"/>
    <x:tableColumn id="14" name="Data type"/>
    <x:tableColumn id="15" name="Website"/>
  </x:tableColumns>
  <x:tableStyleInfo name="TableStyleMedium2" showFirstColumn="0" showLastColumn="0" showRowStripes="1" showColumnStripes="0"/>
</x:table>
</file>

<file path=xl/tables/table2.xml><?xml version="1.0" encoding="utf-8"?>
<x:table xmlns:x="http://schemas.openxmlformats.org/spreadsheetml/2006/main" id="2" name="ManufacturersIdentitySources" displayName="ManufacturersIdentitySources" ref="A10:M71" headerRowCount="1" totalsRowCount="0" totalsRowShown="0">
  <x:autoFilter ref="A10:M71"/>
  <x:tableColumns count="13">
    <x:tableColumn id="1" name="Company / business"/>
    <x:tableColumn id="2" name="ABN"/>
    <x:tableColumn id="3" name="Legal entity"/>
    <x:tableColumn id="4" name="Identity source"/>
    <x:tableColumn id="5" name="NSW location source"/>
    <x:tableColumn id="6" name="Published activity"/>
    <x:tableColumn id="7" name="Activity source"/>
    <x:tableColumn id="8" name="Supporting source"/>
    <x:tableColumn id="9" name="Location / identity notes"/>
    <x:tableColumn id="10" name="NPI facility ID(s)"/>
    <x:tableColumn id="11" name="Latitude"/>
    <x:tableColumn id="12" name="Longitude"/>
    <x:tableColumn id="13" name="Synthetic budget rate (AUD/tonn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db156311764e87" /></Relationships>
</file>

<file path=xl/worksheets/_rels/sheet2.xml.rels>&#65279;<?xml version="1.0" encoding="utf-8"?><Relationships xmlns="http://schemas.openxmlformats.org/package/2006/relationships"><Relationship Type="http://schemas.openxmlformats.org/officeDocument/2006/relationships/table" Target="/xl/tables/table2.xml" Id="Rf7d676082426479a" /></Relationships>
</file>

<file path=xl/worksheets/sheet1.xml><?xml version="1.0" encoding="utf-8"?>
<x:worksheet xmlns:x="http://schemas.openxmlformats.org/spreadsheetml/2006/main">
  <x:sheetPr>
    <x:tabColor rgb="FF174B3E"/>
  </x:sheetPr>
  <x:sheetViews>
    <x:sheetView showGridLines="0" workbookViewId="0">
      <x:pane xSplit="2" ySplit="4" topLeftCell="C5" activePane="bottomRight" state="frozen"/>
    </x:sheetView>
  </x:sheetViews>
  <x:sheetFormatPr defaultRowHeight="15"/>
  <x:cols>
    <x:col min="1" max="1" width="36" hidden="0" customWidth="1"/>
    <x:col min="2" max="2" width="15" hidden="0" customWidth="1"/>
    <x:col min="3" max="3" width="23" hidden="0" customWidth="1"/>
    <x:col min="4" max="4" width="36" hidden="0" customWidth="1"/>
    <x:col min="5" max="5" width="11" hidden="0" customWidth="1"/>
    <x:col min="6" max="6" width="19" hidden="0" customWidth="1"/>
    <x:col min="7" max="7" width="46" hidden="0" customWidth="1"/>
    <x:col min="8" max="8" width="20" hidden="0" customWidth="1"/>
    <x:col min="9" max="9" width="26" hidden="0" customWidth="1"/>
    <x:col min="10" max="10" width="39" hidden="0" customWidth="1"/>
    <x:col min="11" max="11" width="19" hidden="0" customWidth="1"/>
    <x:col min="12" max="12" width="21" hidden="0" customWidth="1"/>
    <x:col min="13" max="13" width="21" hidden="0" customWidth="1"/>
    <x:col min="14" max="14" width="23" hidden="0" customWidth="1"/>
    <x:col min="15" max="15" width="42" hidden="0" customWidth="1"/>
  </x:cols>
  <x:sheetData>
    <x:row r="1" ht="34" customHeight="1">
      <x:c r="A1" s="5" t="str">
        <x:v>Manufacturers | NSW | Synthetic marketplace scenarios</x:v>
      </x:c>
      <x:c r="B1" s="5"/>
      <x:c r="C1" s="5"/>
      <x:c r="D1" s="5"/>
      <x:c r="E1" s="5"/>
      <x:c r="F1" s="5" t="str">
        <x:v>61 authentic businesses | Steel, copper, aluminium, brass and alloys</x:v>
      </x:c>
      <x:c r="G1" s="5"/>
      <x:c r="H1" s="5"/>
      <x:c r="I1" s="5"/>
      <x:c r="J1" s="5"/>
      <x:c r="K1" s="5"/>
      <x:c r="L1" s="5"/>
      <x:c r="M1" s="5"/>
      <x:c r="N1" s="5"/>
      <x:c r="O1" s="5"/>
    </x:row>
    <x:row r="2" ht="31" customHeight="1">
      <x:c r="A2" s="7" t="str">
        <x:v>Company, ABN and NSW location are authentic. All material, quantity, compliance, grade, pricing, budget and tender fields are SYNTHETIC DEMO DATA.</x:v>
      </x:c>
      <x:c r="B2" s="7"/>
      <x:c r="C2" s="7"/>
      <x:c r="D2" s="7"/>
      <x:c r="E2" s="7"/>
      <x:c r="F2" s="7"/>
      <x:c r="G2" s="7"/>
      <x:c r="H2" s="7"/>
      <x:c r="I2" s="7"/>
      <x:c r="J2" s="7"/>
      <x:c r="K2" s="7"/>
      <x:c r="L2" s="7"/>
      <x:c r="M2" s="7"/>
      <x:c r="N2" s="7"/>
      <x:c r="O2" s="7"/>
    </x:row>
    <x:row r="3" ht="9" customHeight="1">
      <x:c r="A3" s="3"/>
      <x:c r="B3" s="3"/>
      <x:c r="C3" s="3"/>
      <x:c r="D3" s="3"/>
      <x:c r="E3" s="3"/>
      <x:c r="F3" s="3"/>
      <x:c r="G3" s="3"/>
      <x:c r="H3" s="3"/>
      <x:c r="I3" s="3"/>
      <x:c r="J3" s="3"/>
      <x:c r="K3" s="3"/>
      <x:c r="L3" s="3"/>
      <x:c r="M3" s="3"/>
      <x:c r="N3" s="3"/>
      <x:c r="O3" s="3"/>
    </x:row>
    <x:row r="4" ht="36" customHeight="1">
      <x:c r="A4" s="9" t="str">
        <x:v>Company / business</x:v>
      </x:c>
      <x:c r="B4" s="9" t="str">
        <x:v>ABN</x:v>
      </x:c>
      <x:c r="C4" s="9" t="str">
        <x:v>NSW locality</x:v>
      </x:c>
      <x:c r="D4" s="9" t="str">
        <x:v>NSW address</x:v>
      </x:c>
      <x:c r="E4" s="9" t="str">
        <x:v>Postcode</x:v>
      </x:c>
      <x:c r="F4" s="11" t="str">
        <x:v>Required material</x:v>
      </x:c>
      <x:c r="G4" s="11" t="str">
        <x:v>Making with material</x:v>
      </x:c>
      <x:c r="H4" s="11" t="str">
        <x:v>Required quantity (tonnes)</x:v>
      </x:c>
      <x:c r="I4" s="11" t="str">
        <x:v>Manufacturer budget (AUD)</x:v>
      </x:c>
      <x:c r="J4" s="11" t="str">
        <x:v>Timeframe</x:v>
      </x:c>
      <x:c r="K4" s="11" t="str">
        <x:v>Output grade</x:v>
      </x:c>
      <x:c r="L4" s="11" t="str">
        <x:v>Purchase period start</x:v>
      </x:c>
      <x:c r="M4" s="11" t="str">
        <x:v>Purchase period end</x:v>
      </x:c>
      <x:c r="N4" s="11" t="str">
        <x:v>Data type</x:v>
      </x:c>
      <x:c r="O4" s="9" t="str">
        <x:v>Website</x:v>
      </x:c>
    </x:row>
    <x:row r="5" ht="58" customHeight="1">
      <x:c r="A5" s="23" t="str">
        <x:v>Absolute Steel Fabrication &amp; Welding</x:v>
      </x:c>
      <x:c r="B5" s="24" t="str">
        <x:v>37660612831</x:v>
      </x:c>
      <x:c r="C5" s="23" t="str">
        <x:v>East Wagga Wagga</x:v>
      </x:c>
      <x:c r="D5" s="23" t="str">
        <x:v>15 Tarcoola Road</x:v>
      </x:c>
      <x:c r="E5" s="24" t="str">
        <x:v>2650</x:v>
      </x:c>
      <x:c r="F5" s="25" t="str">
        <x:v>Steel</x:v>
      </x:c>
      <x:c r="G5" s="25" t="str">
        <x:v>Steel fabricated frames, structures and components</x:v>
      </x:c>
      <x:c r="H5" s="26" t="n">
        <x:v>533</x:v>
      </x:c>
      <x:c r="I5" s="27" t="n">
        <x:f>H5*Sources!M11</x:f>
        <x:v>218530</x:v>
      </x:c>
      <x:c r="J5" s="25" t="str">
        <x:v>Order by 21 Nov 2026; deliver by 30 Nov 2026</x:v>
      </x:c>
      <x:c r="K5" s="25" t="str">
        <x:v>High quality</x:v>
      </x:c>
      <x:c r="L5" s="28" t="d">
        <x:v>2026-11-01T00:00:00.000Z</x:v>
      </x:c>
      <x:c r="M5" s="28" t="d">
        <x:v>2026-11-30T00:00:00.000Z</x:v>
      </x:c>
      <x:c r="N5" s="25" t="str">
        <x:v>Synthetic scenario</x:v>
      </x:c>
      <x:c r="O5" s="29" t="str">
        <x:v>https://www.absolutesteelfabandwelding.com.au/</x:v>
      </x:c>
    </x:row>
    <x:row r="6" ht="58" customHeight="1">
      <x:c r="A6" s="3" t="str">
        <x:v>Academy Sheetmetal</x:v>
      </x:c>
      <x:c r="B6" s="12" t="str">
        <x:v>27100479187</x:v>
      </x:c>
      <x:c r="C6" s="3" t="str">
        <x:v>Cardiff</x:v>
      </x:c>
      <x:c r="D6" s="3" t="str">
        <x:v>56 Pendlebury Road</x:v>
      </x:c>
      <x:c r="E6" s="12" t="str">
        <x:v>2285</x:v>
      </x:c>
      <x:c r="F6" s="18" t="str">
        <x:v>Steel</x:v>
      </x:c>
      <x:c r="G6" s="18" t="str">
        <x:v>Steel fabricated frames, structures and components</x:v>
      </x:c>
      <x:c r="H6" s="19" t="n">
        <x:v>495</x:v>
      </x:c>
      <x:c r="I6" s="27" t="n">
        <x:f>H6*Sources!M12</x:f>
        <x:v>178200</x:v>
      </x:c>
      <x:c r="J6" s="18" t="str">
        <x:v>Order by 14 Nov 2026; deliver by 30 Nov 2026</x:v>
      </x:c>
      <x:c r="K6" s="18" t="str">
        <x:v>Medium quality</x:v>
      </x:c>
      <x:c r="L6" s="21" t="d">
        <x:v>2026-11-01T00:00:00.000Z</x:v>
      </x:c>
      <x:c r="M6" s="21" t="d">
        <x:v>2026-11-30T00:00:00.000Z</x:v>
      </x:c>
      <x:c r="N6" s="18" t="str">
        <x:v>Synthetic scenario</x:v>
      </x:c>
      <x:c r="O6" s="22" t="str">
        <x:v>https://academysheetmetal.com.au/</x:v>
      </x:c>
    </x:row>
    <x:row r="7" ht="58" customHeight="1">
      <x:c r="A7" s="23" t="str">
        <x:v>Agriweld Engineering</x:v>
      </x:c>
      <x:c r="B7" s="24" t="str">
        <x:v>79130563183</x:v>
      </x:c>
      <x:c r="C7" s="23" t="str">
        <x:v>Dubbo</x:v>
      </x:c>
      <x:c r="D7" s="23" t="str">
        <x:v>67 Fitzroy Street</x:v>
      </x:c>
      <x:c r="E7" s="24" t="str">
        <x:v>2830</x:v>
      </x:c>
      <x:c r="F7" s="25" t="str">
        <x:v>Steel</x:v>
      </x:c>
      <x:c r="G7" s="25" t="str">
        <x:v>Steel fabricated frames, structures and components</x:v>
      </x:c>
      <x:c r="H7" s="26" t="n">
        <x:v>544</x:v>
      </x:c>
      <x:c r="I7" s="27" t="n">
        <x:f>H7*Sources!M13</x:f>
        <x:v>195840</x:v>
      </x:c>
      <x:c r="J7" s="25" t="str">
        <x:v>Order by 14 Nov 2026; deliver by 30 Nov 2026</x:v>
      </x:c>
      <x:c r="K7" s="25" t="str">
        <x:v>Medium quality</x:v>
      </x:c>
      <x:c r="L7" s="28" t="d">
        <x:v>2026-11-01T00:00:00.000Z</x:v>
      </x:c>
      <x:c r="M7" s="28" t="d">
        <x:v>2026-11-30T00:00:00.000Z</x:v>
      </x:c>
      <x:c r="N7" s="25" t="str">
        <x:v>Synthetic scenario</x:v>
      </x:c>
      <x:c r="O7" s="29" t="str">
        <x:v>https://www.agriweld.com.au/</x:v>
      </x:c>
    </x:row>
    <x:row r="8" ht="58" customHeight="1">
      <x:c r="A8" s="3" t="str">
        <x:v>Ajax Foundry</x:v>
      </x:c>
      <x:c r="B8" s="12" t="str">
        <x:v>53000170427</x:v>
      </x:c>
      <x:c r="C8" s="3" t="str">
        <x:v>Silverwater</x:v>
      </x:c>
      <x:c r="D8" s="3" t="str">
        <x:v>Corner Day and Fariola Streets</x:v>
      </x:c>
      <x:c r="E8" s="12" t="str">
        <x:v>2128</x:v>
      </x:c>
      <x:c r="F8" s="18" t="str">
        <x:v>Steel</x:v>
      </x:c>
      <x:c r="G8" s="18" t="str">
        <x:v>Ferrous cast components</x:v>
      </x:c>
      <x:c r="H8" s="19" t="n">
        <x:v>544</x:v>
      </x:c>
      <x:c r="I8" s="27" t="n">
        <x:f>H8*Sources!M14</x:f>
        <x:v>195840</x:v>
      </x:c>
      <x:c r="J8" s="18" t="str">
        <x:v>Order by 7 Nov 2026; deliver by 30 Nov 2026</x:v>
      </x:c>
      <x:c r="K8" s="18" t="str">
        <x:v>Medium quality</x:v>
      </x:c>
      <x:c r="L8" s="21" t="d">
        <x:v>2026-11-01T00:00:00.000Z</x:v>
      </x:c>
      <x:c r="M8" s="21" t="d">
        <x:v>2026-11-30T00:00:00.000Z</x:v>
      </x:c>
      <x:c r="N8" s="18" t="str">
        <x:v>Synthetic scenario</x:v>
      </x:c>
      <x:c r="O8" s="22" t="str">
        <x:v>https://www.ajaxfoundry.com.au/</x:v>
      </x:c>
    </x:row>
    <x:row r="9" ht="58" customHeight="1">
      <x:c r="A9" s="23" t="str">
        <x:v>Alasco Engineering</x:v>
      </x:c>
      <x:c r="B9" s="24" t="str">
        <x:v>47686097873</x:v>
      </x:c>
      <x:c r="C9" s="23" t="str">
        <x:v>North Wollongong</x:v>
      </x:c>
      <x:c r="D9" s="23" t="str">
        <x:v>10 Ralph Black Drive</x:v>
      </x:c>
      <x:c r="E9" s="24" t="str"/>
      <x:c r="F9" s="25" t="str">
        <x:v>Aluminium</x:v>
      </x:c>
      <x:c r="G9" s="25" t="str">
        <x:v>Aluminium fabricated panels, profiles and components</x:v>
      </x:c>
      <x:c r="H9" s="26" t="n">
        <x:v>118</x:v>
      </x:c>
      <x:c r="I9" s="27" t="n">
        <x:f>H9*Sources!M15</x:f>
        <x:v>204140</x:v>
      </x:c>
      <x:c r="J9" s="25" t="str">
        <x:v>Order by 21 Nov 2026; deliver by 30 Nov 2026</x:v>
      </x:c>
      <x:c r="K9" s="25" t="str">
        <x:v>Medium quality</x:v>
      </x:c>
      <x:c r="L9" s="28" t="d">
        <x:v>2026-11-01T00:00:00.000Z</x:v>
      </x:c>
      <x:c r="M9" s="28" t="d">
        <x:v>2026-11-30T00:00:00.000Z</x:v>
      </x:c>
      <x:c r="N9" s="25" t="str">
        <x:v>Synthetic scenario</x:v>
      </x:c>
      <x:c r="O9" s="29" t="str">
        <x:v>https://www.alasco.com.au/</x:v>
      </x:c>
    </x:row>
    <x:row r="10" ht="58" customHeight="1">
      <x:c r="A10" s="3" t="str">
        <x:v>Alumac Industries</x:v>
      </x:c>
      <x:c r="B10" s="12" t="str">
        <x:v>11632921692</x:v>
      </x:c>
      <x:c r="C10" s="3" t="str">
        <x:v>Taren Point</x:v>
      </x:c>
      <x:c r="D10" s="3" t="str">
        <x:v>12 Box Road</x:v>
      </x:c>
      <x:c r="E10" s="12" t="str">
        <x:v>2229</x:v>
      </x:c>
      <x:c r="F10" s="18" t="str">
        <x:v>Aluminium</x:v>
      </x:c>
      <x:c r="G10" s="18" t="str">
        <x:v>Aluminium fabricated panels, profiles and components</x:v>
      </x:c>
      <x:c r="H10" s="19" t="n">
        <x:v>177</x:v>
      </x:c>
      <x:c r="I10" s="27" t="n">
        <x:f>H10*Sources!M16</x:f>
        <x:v>341610</x:v>
      </x:c>
      <x:c r="J10" s="18" t="str">
        <x:v>Order by 28 Nov 2026; deliver by 30 Nov 2026</x:v>
      </x:c>
      <x:c r="K10" s="18" t="str">
        <x:v>High quality</x:v>
      </x:c>
      <x:c r="L10" s="21" t="d">
        <x:v>2026-11-01T00:00:00.000Z</x:v>
      </x:c>
      <x:c r="M10" s="21" t="d">
        <x:v>2026-11-30T00:00:00.000Z</x:v>
      </x:c>
      <x:c r="N10" s="18" t="str">
        <x:v>Synthetic scenario</x:v>
      </x:c>
      <x:c r="O10" s="22" t="str">
        <x:v>https://alumac.com.au/</x:v>
      </x:c>
    </x:row>
    <x:row r="11" ht="58" customHeight="1">
      <x:c r="A11" s="23" t="str">
        <x:v>Apex Laser</x:v>
      </x:c>
      <x:c r="B11" s="24" t="str">
        <x:v>62625730725</x:v>
      </x:c>
      <x:c r="C11" s="23" t="str">
        <x:v>West Gosford</x:v>
      </x:c>
      <x:c r="D11" s="23" t="str">
        <x:v>6/7 Comserv Close</x:v>
      </x:c>
      <x:c r="E11" s="24" t="str">
        <x:v>2250</x:v>
      </x:c>
      <x:c r="F11" s="25" t="str">
        <x:v>Steel</x:v>
      </x:c>
      <x:c r="G11" s="25" t="str">
        <x:v>Steel switchboard enclosures</x:v>
      </x:c>
      <x:c r="H11" s="26" t="n">
        <x:v>528</x:v>
      </x:c>
      <x:c r="I11" s="27" t="n">
        <x:f>H11*Sources!M17</x:f>
        <x:v>190080</x:v>
      </x:c>
      <x:c r="J11" s="25" t="str">
        <x:v>Order by 21 Nov 2026; deliver by 30 Nov 2026</x:v>
      </x:c>
      <x:c r="K11" s="25" t="str">
        <x:v>Medium quality</x:v>
      </x:c>
      <x:c r="L11" s="28" t="d">
        <x:v>2026-11-01T00:00:00.000Z</x:v>
      </x:c>
      <x:c r="M11" s="28" t="d">
        <x:v>2026-11-30T00:00:00.000Z</x:v>
      </x:c>
      <x:c r="N11" s="25" t="str">
        <x:v>Synthetic scenario</x:v>
      </x:c>
      <x:c r="O11" s="29" t="str">
        <x:v>https://www.apxlsr.com.au/</x:v>
      </x:c>
    </x:row>
    <x:row r="12" ht="58" customHeight="1">
      <x:c r="A12" s="3" t="str">
        <x:v>Austral Alloys</x:v>
      </x:c>
      <x:c r="B12" s="12" t="str">
        <x:v>39649764607</x:v>
      </x:c>
      <x:c r="C12" s="3" t="str">
        <x:v>Bankstown</x:v>
      </x:c>
      <x:c r="D12" s="3" t="str">
        <x:v>174-176 Eldridge Road</x:v>
      </x:c>
      <x:c r="E12" s="12" t="str">
        <x:v>2200</x:v>
      </x:c>
      <x:c r="F12" s="18" t="str">
        <x:v>Alloys</x:v>
      </x:c>
      <x:c r="G12" s="18" t="str">
        <x:v>Stainless steel pump and industrial castings</x:v>
      </x:c>
      <x:c r="H12" s="19" t="n">
        <x:v>78</x:v>
      </x:c>
      <x:c r="I12" s="27" t="n">
        <x:f>H12*Sources!M18</x:f>
        <x:v>189540</x:v>
      </x:c>
      <x:c r="J12" s="18" t="str">
        <x:v>Order by 7 Nov 2026; deliver by 30 Nov 2026</x:v>
      </x:c>
      <x:c r="K12" s="18" t="str">
        <x:v>High quality</x:v>
      </x:c>
      <x:c r="L12" s="21" t="d">
        <x:v>2026-11-01T00:00:00.000Z</x:v>
      </x:c>
      <x:c r="M12" s="21" t="d">
        <x:v>2026-11-30T00:00:00.000Z</x:v>
      </x:c>
      <x:c r="N12" s="18" t="str">
        <x:v>Synthetic scenario</x:v>
      </x:c>
      <x:c r="O12" s="22" t="str">
        <x:v>https://www.australalloys.com.au/</x:v>
      </x:c>
    </x:row>
    <x:row r="13" ht="58" customHeight="1">
      <x:c r="A13" s="23" t="str">
        <x:v>Austube Mills</x:v>
      </x:c>
      <x:c r="B13" s="24" t="str">
        <x:v>21123666679</x:v>
      </x:c>
      <x:c r="C13" s="23" t="str">
        <x:v>Mayfield</x:v>
      </x:c>
      <x:c r="D13" s="23" t="str">
        <x:v>51 Industrial Drive</x:v>
      </x:c>
      <x:c r="E13" s="24" t="str">
        <x:v>2304</x:v>
      </x:c>
      <x:c r="F13" s="25" t="str">
        <x:v>Steel</x:v>
      </x:c>
      <x:c r="G13" s="25" t="str">
        <x:v>Steel tubes and pipes</x:v>
      </x:c>
      <x:c r="H13" s="26" t="n">
        <x:v>610</x:v>
      </x:c>
      <x:c r="I13" s="27" t="n">
        <x:f>H13*Sources!M19</x:f>
        <x:v>250100</x:v>
      </x:c>
      <x:c r="J13" s="25" t="str">
        <x:v>Order by 7 Nov 2026; deliver by 30 Nov 2026</x:v>
      </x:c>
      <x:c r="K13" s="25" t="str">
        <x:v>High quality</x:v>
      </x:c>
      <x:c r="L13" s="28" t="d">
        <x:v>2026-11-01T00:00:00.000Z</x:v>
      </x:c>
      <x:c r="M13" s="28" t="d">
        <x:v>2026-11-30T00:00:00.000Z</x:v>
      </x:c>
      <x:c r="N13" s="25" t="str">
        <x:v>Synthetic scenario</x:v>
      </x:c>
      <x:c r="O13" s="29" t="str">
        <x:v>http://www.infrabuild.com</x:v>
      </x:c>
    </x:row>
    <x:row r="14" ht="58" customHeight="1">
      <x:c r="A14" s="3" t="str">
        <x:v>BEKAERT WIRE ROPES PTY LTD</x:v>
      </x:c>
      <x:c r="B14" s="12" t="str">
        <x:v>22603902601</x:v>
      </x:c>
      <x:c r="C14" s="3" t="str">
        <x:v>Mayfield East</x:v>
      </x:c>
      <x:c r="D14" s="3" t="str">
        <x:v>2 George Street</x:v>
      </x:c>
      <x:c r="E14" s="12" t="str">
        <x:v>2304</x:v>
      </x:c>
      <x:c r="F14" s="18" t="str">
        <x:v>Steel</x:v>
      </x:c>
      <x:c r="G14" s="18" t="str">
        <x:v>Steel wire ropes</x:v>
      </x:c>
      <x:c r="H14" s="19" t="n">
        <x:v>415</x:v>
      </x:c>
      <x:c r="I14" s="27" t="n">
        <x:f>H14*Sources!M20</x:f>
        <x:v>149400</x:v>
      </x:c>
      <x:c r="J14" s="18" t="str">
        <x:v>Order by 7 Nov 2026; deliver by 30 Nov 2026</x:v>
      </x:c>
      <x:c r="K14" s="18" t="str">
        <x:v>Medium quality</x:v>
      </x:c>
      <x:c r="L14" s="21" t="d">
        <x:v>2026-11-01T00:00:00.000Z</x:v>
      </x:c>
      <x:c r="M14" s="21" t="d">
        <x:v>2026-11-30T00:00:00.000Z</x:v>
      </x:c>
      <x:c r="N14" s="18" t="str">
        <x:v>Synthetic scenario</x:v>
      </x:c>
      <x:c r="O14" s="22" t="str">
        <x:v>http://www.bridon-bekaert.com</x:v>
      </x:c>
    </x:row>
    <x:row r="15" ht="58" customHeight="1">
      <x:c r="A15" s="23" t="str">
        <x:v>BISALLOY STEELS PTY LTD</x:v>
      </x:c>
      <x:c r="B15" s="24" t="str">
        <x:v>27001641292</x:v>
      </x:c>
      <x:c r="C15" s="23" t="str">
        <x:v>Unanderra</x:v>
      </x:c>
      <x:c r="D15" s="23" t="str">
        <x:v>18 Resolution Drive</x:v>
      </x:c>
      <x:c r="E15" s="24" t="str">
        <x:v>2526</x:v>
      </x:c>
      <x:c r="F15" s="25" t="str">
        <x:v>Steel</x:v>
      </x:c>
      <x:c r="G15" s="25" t="str">
        <x:v>Quenched and tempered steel plate</x:v>
      </x:c>
      <x:c r="H15" s="26" t="n">
        <x:v>269</x:v>
      </x:c>
      <x:c r="I15" s="27" t="n">
        <x:f>H15*Sources!M21</x:f>
        <x:v>80700</x:v>
      </x:c>
      <x:c r="J15" s="25" t="str">
        <x:v>Order by 28 Nov 2026; deliver by 30 Nov 2026</x:v>
      </x:c>
      <x:c r="K15" s="25" t="str">
        <x:v>Short use</x:v>
      </x:c>
      <x:c r="L15" s="28" t="d">
        <x:v>2026-11-01T00:00:00.000Z</x:v>
      </x:c>
      <x:c r="M15" s="28" t="d">
        <x:v>2026-11-30T00:00:00.000Z</x:v>
      </x:c>
      <x:c r="N15" s="25" t="str">
        <x:v>Synthetic scenario</x:v>
      </x:c>
      <x:c r="O15" s="29" t="str">
        <x:v>http://www.bisalloy.com.au</x:v>
      </x:c>
    </x:row>
    <x:row r="16" ht="58" customHeight="1">
      <x:c r="A16" s="3" t="str">
        <x:v>BJL Welding &amp; Fabrication</x:v>
      </x:c>
      <x:c r="B16" s="12" t="str">
        <x:v>51116666730</x:v>
      </x:c>
      <x:c r="C16" s="3" t="str">
        <x:v>Beresfield</x:v>
      </x:c>
      <x:c r="D16" s="3" t="str">
        <x:v>Unit 2, 3 Pippita Close</x:v>
      </x:c>
      <x:c r="E16" s="12" t="str">
        <x:v>2322</x:v>
      </x:c>
      <x:c r="F16" s="18" t="str">
        <x:v>Steel</x:v>
      </x:c>
      <x:c r="G16" s="18" t="str">
        <x:v>Steel fabricated frames, structures and components</x:v>
      </x:c>
      <x:c r="H16" s="19" t="n">
        <x:v>690</x:v>
      </x:c>
      <x:c r="I16" s="27" t="n">
        <x:f>H16*Sources!M22</x:f>
        <x:v>282900</x:v>
      </x:c>
      <x:c r="J16" s="18" t="str">
        <x:v>Order by 28 Nov 2026; deliver by 30 Nov 2026</x:v>
      </x:c>
      <x:c r="K16" s="18" t="str">
        <x:v>High quality</x:v>
      </x:c>
      <x:c r="L16" s="21" t="d">
        <x:v>2026-11-01T00:00:00.000Z</x:v>
      </x:c>
      <x:c r="M16" s="21" t="d">
        <x:v>2026-11-30T00:00:00.000Z</x:v>
      </x:c>
      <x:c r="N16" s="18" t="str">
        <x:v>Synthetic scenario</x:v>
      </x:c>
      <x:c r="O16" s="22" t="str">
        <x:v>https://bjlwelding.com.au/</x:v>
      </x:c>
    </x:row>
    <x:row r="17" ht="58" customHeight="1">
      <x:c r="A17" s="23" t="str">
        <x:v>BlueScope Port Kembla Steelworks</x:v>
      </x:c>
      <x:c r="B17" s="24" t="str">
        <x:v>19000019625</x:v>
      </x:c>
      <x:c r="C17" s="23" t="str">
        <x:v>Port Kembla</x:v>
      </x:c>
      <x:c r="D17" s="23" t="str">
        <x:v>Five Islands Road</x:v>
      </x:c>
      <x:c r="E17" s="24" t="str">
        <x:v>2505</x:v>
      </x:c>
      <x:c r="F17" s="25" t="str">
        <x:v>Steel</x:v>
      </x:c>
      <x:c r="G17" s="25" t="str">
        <x:v>Steel slab and flat steel products</x:v>
      </x:c>
      <x:c r="H17" s="26" t="n">
        <x:v>598</x:v>
      </x:c>
      <x:c r="I17" s="27" t="n">
        <x:f>H17*Sources!M23</x:f>
        <x:v>245180</x:v>
      </x:c>
      <x:c r="J17" s="25" t="str">
        <x:v>Order by 7 Nov 2026; deliver by 30 Nov 2026</x:v>
      </x:c>
      <x:c r="K17" s="25" t="str">
        <x:v>High quality</x:v>
      </x:c>
      <x:c r="L17" s="28" t="d">
        <x:v>2026-11-01T00:00:00.000Z</x:v>
      </x:c>
      <x:c r="M17" s="28" t="d">
        <x:v>2026-11-30T00:00:00.000Z</x:v>
      </x:c>
      <x:c r="N17" s="25" t="str">
        <x:v>Synthetic scenario</x:v>
      </x:c>
      <x:c r="O17" s="29" t="str">
        <x:v>http://www.bluescope.com</x:v>
      </x:c>
    </x:row>
    <x:row r="18" ht="58" customHeight="1">
      <x:c r="A18" s="3" t="str">
        <x:v>BLUESCOPE STEEL LIMITED</x:v>
      </x:c>
      <x:c r="B18" s="12" t="str">
        <x:v>16000011058</x:v>
      </x:c>
      <x:c r="C18" s="3" t="str">
        <x:v>Port Kembla</x:v>
      </x:c>
      <x:c r="D18" s="3" t="str">
        <x:v>Springhill Road</x:v>
      </x:c>
      <x:c r="E18" s="12" t="str">
        <x:v>2500</x:v>
      </x:c>
      <x:c r="F18" s="18" t="str">
        <x:v>Steel</x:v>
      </x:c>
      <x:c r="G18" s="18" t="str">
        <x:v>Coated steel sheet and coil products</x:v>
      </x:c>
      <x:c r="H18" s="19" t="n">
        <x:v>525</x:v>
      </x:c>
      <x:c r="I18" s="27" t="n">
        <x:f>H18*Sources!M24</x:f>
        <x:v>215250</x:v>
      </x:c>
      <x:c r="J18" s="18" t="str">
        <x:v>Order by 14 Nov 2026; deliver by 30 Nov 2026</x:v>
      </x:c>
      <x:c r="K18" s="18" t="str">
        <x:v>High quality</x:v>
      </x:c>
      <x:c r="L18" s="21" t="d">
        <x:v>2026-11-01T00:00:00.000Z</x:v>
      </x:c>
      <x:c r="M18" s="21" t="d">
        <x:v>2026-11-30T00:00:00.000Z</x:v>
      </x:c>
      <x:c r="N18" s="18" t="str">
        <x:v>Synthetic scenario</x:v>
      </x:c>
      <x:c r="O18" s="22" t="str">
        <x:v>http://www.bluescopesteel.com</x:v>
      </x:c>
    </x:row>
    <x:row r="19" ht="58" customHeight="1">
      <x:c r="A19" s="23" t="str">
        <x:v>BM Steel Fabrication</x:v>
      </x:c>
      <x:c r="B19" s="24" t="str">
        <x:v>71631811419</x:v>
      </x:c>
      <x:c r="C19" s="23" t="str">
        <x:v>Forster</x:v>
      </x:c>
      <x:c r="D19" s="23" t="str">
        <x:v>3 Condell Place</x:v>
      </x:c>
      <x:c r="E19" s="24" t="str">
        <x:v>2428</x:v>
      </x:c>
      <x:c r="F19" s="25" t="str">
        <x:v>Steel</x:v>
      </x:c>
      <x:c r="G19" s="25" t="str">
        <x:v>Steel fabricated frames, structures and components</x:v>
      </x:c>
      <x:c r="H19" s="26" t="n">
        <x:v>679</x:v>
      </x:c>
      <x:c r="I19" s="27" t="n">
        <x:f>H19*Sources!M25</x:f>
        <x:v>278390</x:v>
      </x:c>
      <x:c r="J19" s="25" t="str">
        <x:v>Order by 14 Nov 2026; deliver by 30 Nov 2026</x:v>
      </x:c>
      <x:c r="K19" s="25" t="str">
        <x:v>High quality</x:v>
      </x:c>
      <x:c r="L19" s="28" t="d">
        <x:v>2026-11-01T00:00:00.000Z</x:v>
      </x:c>
      <x:c r="M19" s="28" t="d">
        <x:v>2026-11-30T00:00:00.000Z</x:v>
      </x:c>
      <x:c r="N19" s="25" t="str">
        <x:v>Synthetic scenario</x:v>
      </x:c>
      <x:c r="O19" s="29" t="str">
        <x:v>https://www.bmsteel.com.au/</x:v>
      </x:c>
    </x:row>
    <x:row r="20" ht="58" customHeight="1">
      <x:c r="A20" s="3" t="str">
        <x:v>Bright Balustrading</x:v>
      </x:c>
      <x:c r="B20" s="12" t="str">
        <x:v>79137298803</x:v>
      </x:c>
      <x:c r="C20" s="3" t="str">
        <x:v>Bankstown</x:v>
      </x:c>
      <x:c r="D20" s="3" t="str">
        <x:v>72 Stacey Street</x:v>
      </x:c>
      <x:c r="E20" s="12" t="str">
        <x:v>2200</x:v>
      </x:c>
      <x:c r="F20" s="18" t="str">
        <x:v>Steel</x:v>
      </x:c>
      <x:c r="G20" s="18" t="str">
        <x:v>Steel balustrades and handrails</x:v>
      </x:c>
      <x:c r="H20" s="19" t="n">
        <x:v>282</x:v>
      </x:c>
      <x:c r="I20" s="27" t="n">
        <x:f>H20*Sources!M26</x:f>
        <x:v>84600</x:v>
      </x:c>
      <x:c r="J20" s="18" t="str">
        <x:v>Order by 7 Nov 2026; deliver by 30 Nov 2026</x:v>
      </x:c>
      <x:c r="K20" s="18" t="str">
        <x:v>Short use</x:v>
      </x:c>
      <x:c r="L20" s="21" t="d">
        <x:v>2026-11-01T00:00:00.000Z</x:v>
      </x:c>
      <x:c r="M20" s="21" t="d">
        <x:v>2026-11-30T00:00:00.000Z</x:v>
      </x:c>
      <x:c r="N20" s="18" t="str">
        <x:v>Synthetic scenario</x:v>
      </x:c>
      <x:c r="O20" s="22" t="str">
        <x:v>https://brightbal.com.au/</x:v>
      </x:c>
    </x:row>
    <x:row r="21" ht="58" customHeight="1">
      <x:c r="A21" s="23" t="str">
        <x:v>CALGO Welding &amp; Fabrication</x:v>
      </x:c>
      <x:c r="B21" s="24" t="str">
        <x:v>39485621374</x:v>
      </x:c>
      <x:c r="C21" s="23" t="str">
        <x:v>Appin</x:v>
      </x:c>
      <x:c r="D21" s="23" t="str">
        <x:v>Unit 2, 12 Technology Drive</x:v>
      </x:c>
      <x:c r="E21" s="24" t="str">
        <x:v>2560</x:v>
      </x:c>
      <x:c r="F21" s="25" t="str">
        <x:v>Steel</x:v>
      </x:c>
      <x:c r="G21" s="25" t="str">
        <x:v>Steel fabricated frames, structures and components</x:v>
      </x:c>
      <x:c r="H21" s="26" t="n">
        <x:v>462</x:v>
      </x:c>
      <x:c r="I21" s="27" t="n">
        <x:f>H21*Sources!M27</x:f>
        <x:v>189420</x:v>
      </x:c>
      <x:c r="J21" s="25" t="str">
        <x:v>Order by 14 Nov 2026; deliver by 30 Nov 2026</x:v>
      </x:c>
      <x:c r="K21" s="25" t="str">
        <x:v>High quality</x:v>
      </x:c>
      <x:c r="L21" s="28" t="d">
        <x:v>2026-11-01T00:00:00.000Z</x:v>
      </x:c>
      <x:c r="M21" s="28" t="d">
        <x:v>2026-11-30T00:00:00.000Z</x:v>
      </x:c>
      <x:c r="N21" s="25" t="str">
        <x:v>Synthetic scenario</x:v>
      </x:c>
      <x:c r="O21" s="29" t="str">
        <x:v>https://www.calgowelding.com.au/</x:v>
      </x:c>
    </x:row>
    <x:row r="22" ht="58" customHeight="1">
      <x:c r="A22" s="3" t="str">
        <x:v>Camcast</x:v>
      </x:c>
      <x:c r="B22" s="12" t="str">
        <x:v>32100939295</x:v>
      </x:c>
      <x:c r="C22" s="3" t="str">
        <x:v>Goulburn</x:v>
      </x:c>
      <x:c r="D22" s="3" t="str">
        <x:v>12 Copford Road</x:v>
      </x:c>
      <x:c r="E22" s="12" t="str">
        <x:v>2580</x:v>
      </x:c>
      <x:c r="F22" s="18" t="str">
        <x:v>Brass</x:v>
      </x:c>
      <x:c r="G22" s="18" t="str">
        <x:v>Brass fittings and non-ferrous cast components</x:v>
      </x:c>
      <x:c r="H22" s="19" t="n">
        <x:v>38</x:v>
      </x:c>
      <x:c r="I22" s="27" t="n">
        <x:f>H22*Sources!M28</x:f>
        <x:v>223440</x:v>
      </x:c>
      <x:c r="J22" s="18" t="str">
        <x:v>Order by 7 Nov 2026; deliver by 30 Nov 2026</x:v>
      </x:c>
      <x:c r="K22" s="18" t="str">
        <x:v>High quality</x:v>
      </x:c>
      <x:c r="L22" s="21" t="d">
        <x:v>2026-11-01T00:00:00.000Z</x:v>
      </x:c>
      <x:c r="M22" s="21" t="d">
        <x:v>2026-11-30T00:00:00.000Z</x:v>
      </x:c>
      <x:c r="N22" s="18" t="str">
        <x:v>Synthetic scenario</x:v>
      </x:c>
      <x:c r="O22" s="22" t="str">
        <x:v>https://camcast.com.au/</x:v>
      </x:c>
    </x:row>
    <x:row r="23" ht="58" customHeight="1">
      <x:c r="A23" s="23" t="str">
        <x:v>Capral</x:v>
      </x:c>
      <x:c r="B23" s="24" t="str">
        <x:v>78004213692</x:v>
      </x:c>
      <x:c r="C23" s="23" t="str">
        <x:v>Penrith</x:v>
      </x:c>
      <x:c r="D23" s="23" t="str">
        <x:v>2115 Castlereagh Road</x:v>
      </x:c>
      <x:c r="E23" s="24" t="str">
        <x:v>2750</x:v>
      </x:c>
      <x:c r="F23" s="25" t="str">
        <x:v>Aluminium</x:v>
      </x:c>
      <x:c r="G23" s="25" t="str">
        <x:v>Aluminium extrusion profiles</x:v>
      </x:c>
      <x:c r="H23" s="26" t="n">
        <x:v>155</x:v>
      </x:c>
      <x:c r="I23" s="27" t="n">
        <x:f>H23*Sources!M29</x:f>
        <x:v>268150</x:v>
      </x:c>
      <x:c r="J23" s="25" t="str">
        <x:v>Order by 14 Nov 2026; deliver by 30 Nov 2026</x:v>
      </x:c>
      <x:c r="K23" s="25" t="str">
        <x:v>Medium quality</x:v>
      </x:c>
      <x:c r="L23" s="28" t="d">
        <x:v>2026-11-01T00:00:00.000Z</x:v>
      </x:c>
      <x:c r="M23" s="28" t="d">
        <x:v>2026-11-30T00:00:00.000Z</x:v>
      </x:c>
      <x:c r="N23" s="25" t="str">
        <x:v>Synthetic scenario</x:v>
      </x:c>
      <x:c r="O23" s="29" t="str">
        <x:v>https://www.capral.com.au/</x:v>
      </x:c>
    </x:row>
    <x:row r="24" ht="58" customHeight="1">
      <x:c r="A24" s="3" t="str">
        <x:v>Clingcast Metals</x:v>
      </x:c>
      <x:c r="B24" s="12" t="str">
        <x:v>13002537537</x:v>
      </x:c>
      <x:c r="C24" s="3" t="str">
        <x:v>Kirrawee</x:v>
      </x:c>
      <x:c r="D24" s="3" t="str">
        <x:v>98 Bath Road</x:v>
      </x:c>
      <x:c r="E24" s="12" t="str">
        <x:v>2232</x:v>
      </x:c>
      <x:c r="F24" s="18" t="str">
        <x:v>Brass</x:v>
      </x:c>
      <x:c r="G24" s="18" t="str">
        <x:v>Brass and copper-alloy ingots and castings</x:v>
      </x:c>
      <x:c r="H24" s="19" t="n">
        <x:v>39</x:v>
      </x:c>
      <x:c r="I24" s="27" t="n">
        <x:f>H24*Sources!M30</x:f>
        <x:v>225030</x:v>
      </x:c>
      <x:c r="J24" s="18" t="str">
        <x:v>Order by 28 Nov 2026; deliver by 30 Nov 2026</x:v>
      </x:c>
      <x:c r="K24" s="18" t="str">
        <x:v>High quality</x:v>
      </x:c>
      <x:c r="L24" s="21" t="d">
        <x:v>2026-11-01T00:00:00.000Z</x:v>
      </x:c>
      <x:c r="M24" s="21" t="d">
        <x:v>2026-11-30T00:00:00.000Z</x:v>
      </x:c>
      <x:c r="N24" s="18" t="str">
        <x:v>Synthetic scenario</x:v>
      </x:c>
      <x:c r="O24" s="22" t="str">
        <x:v>https://www.clingcast.com.au/</x:v>
      </x:c>
    </x:row>
    <x:row r="25" ht="58" customHeight="1">
      <x:c r="A25" s="23" t="str">
        <x:v>DEMATIC PTY LTD</x:v>
      </x:c>
      <x:c r="B25" s="24" t="str">
        <x:v>43118204425</x:v>
      </x:c>
      <x:c r="C25" s="23" t="str">
        <x:v>Belrose</x:v>
      </x:c>
      <x:c r="D25" s="23" t="str">
        <x:v>24 Narabang Way</x:v>
      </x:c>
      <x:c r="E25" s="24" t="str">
        <x:v>2085</x:v>
      </x:c>
      <x:c r="F25" s="25" t="str">
        <x:v>Steel</x:v>
      </x:c>
      <x:c r="G25" s="25" t="str">
        <x:v>Steel storage racking</x:v>
      </x:c>
      <x:c r="H25" s="26" t="n">
        <x:v>250</x:v>
      </x:c>
      <x:c r="I25" s="27" t="n">
        <x:f>H25*Sources!M31</x:f>
        <x:v>75000</x:v>
      </x:c>
      <x:c r="J25" s="25" t="str">
        <x:v>Order by 14 Nov 2026; deliver by 30 Nov 2026</x:v>
      </x:c>
      <x:c r="K25" s="25" t="str">
        <x:v>Short use</x:v>
      </x:c>
      <x:c r="L25" s="28" t="d">
        <x:v>2026-11-01T00:00:00.000Z</x:v>
      </x:c>
      <x:c r="M25" s="28" t="d">
        <x:v>2026-11-30T00:00:00.000Z</x:v>
      </x:c>
      <x:c r="N25" s="25" t="str">
        <x:v>Synthetic scenario</x:v>
      </x:c>
      <x:c r="O25" s="29" t="str">
        <x:v>http://www.dematic.com.au</x:v>
      </x:c>
    </x:row>
    <x:row r="26" ht="58" customHeight="1">
      <x:c r="A26" s="3" t="str">
        <x:v>DND Welding</x:v>
      </x:c>
      <x:c r="B26" s="12" t="str">
        <x:v>97130427173</x:v>
      </x:c>
      <x:c r="C26" s="3" t="str">
        <x:v>Dubbo</x:v>
      </x:c>
      <x:c r="D26" s="3" t="str">
        <x:v>3 Gill Street</x:v>
      </x:c>
      <x:c r="E26" s="12" t="str">
        <x:v>2830</x:v>
      </x:c>
      <x:c r="F26" s="18" t="str">
        <x:v>Steel</x:v>
      </x:c>
      <x:c r="G26" s="18" t="str">
        <x:v>Steel trailers and truck-body components</x:v>
      </x:c>
      <x:c r="H26" s="19" t="n">
        <x:v>307</x:v>
      </x:c>
      <x:c r="I26" s="27" t="n">
        <x:f>H26*Sources!M32</x:f>
        <x:v>92100</x:v>
      </x:c>
      <x:c r="J26" s="18" t="str">
        <x:v>Order by 28 Nov 2026; deliver by 30 Nov 2026</x:v>
      </x:c>
      <x:c r="K26" s="18" t="str">
        <x:v>Short use</x:v>
      </x:c>
      <x:c r="L26" s="21" t="d">
        <x:v>2026-11-01T00:00:00.000Z</x:v>
      </x:c>
      <x:c r="M26" s="21" t="d">
        <x:v>2026-11-30T00:00:00.000Z</x:v>
      </x:c>
      <x:c r="N26" s="18" t="str">
        <x:v>Synthetic scenario</x:v>
      </x:c>
      <x:c r="O26" s="22" t="str">
        <x:v>https://www.dndwelding.com.au/</x:v>
      </x:c>
    </x:row>
    <x:row r="27" ht="58" customHeight="1">
      <x:c r="A27" s="23" t="str">
        <x:v>Dux Hot Water</x:v>
      </x:c>
      <x:c r="B27" s="24" t="str">
        <x:v>19077879844</x:v>
      </x:c>
      <x:c r="C27" s="23" t="str">
        <x:v>Moss Vale</x:v>
      </x:c>
      <x:c r="D27" s="23" t="str">
        <x:v>Collins Road</x:v>
      </x:c>
      <x:c r="E27" s="24" t="str">
        <x:v>2577</x:v>
      </x:c>
      <x:c r="F27" s="25" t="str">
        <x:v>Steel</x:v>
      </x:c>
      <x:c r="G27" s="25" t="str">
        <x:v>Steel water-heater cylinders</x:v>
      </x:c>
      <x:c r="H27" s="26" t="n">
        <x:v>272</x:v>
      </x:c>
      <x:c r="I27" s="27" t="n">
        <x:f>H27*Sources!M33</x:f>
        <x:v>81600</x:v>
      </x:c>
      <x:c r="J27" s="25" t="str">
        <x:v>Order by 14 Nov 2026; deliver by 30 Nov 2026</x:v>
      </x:c>
      <x:c r="K27" s="25" t="str">
        <x:v>Short use</x:v>
      </x:c>
      <x:c r="L27" s="28" t="d">
        <x:v>2026-11-01T00:00:00.000Z</x:v>
      </x:c>
      <x:c r="M27" s="28" t="d">
        <x:v>2026-11-30T00:00:00.000Z</x:v>
      </x:c>
      <x:c r="N27" s="25" t="str">
        <x:v>Synthetic scenario</x:v>
      </x:c>
      <x:c r="O27" s="29" t="str">
        <x:v>http://www.dux.com.au</x:v>
      </x:c>
    </x:row>
    <x:row r="28" ht="58" customHeight="1">
      <x:c r="A28" s="3" t="str">
        <x:v>ENCAT Australia</x:v>
      </x:c>
      <x:c r="B28" s="12" t="str">
        <x:v>76050541207</x:v>
      </x:c>
      <x:c r="C28" s="3" t="str">
        <x:v>Unanderra</x:v>
      </x:c>
      <x:c r="D28" s="3" t="str">
        <x:v>4 Sirius Road</x:v>
      </x:c>
      <x:c r="E28" s="12" t="str">
        <x:v>2526</x:v>
      </x:c>
      <x:c r="F28" s="18" t="str">
        <x:v>Steel</x:v>
      </x:c>
      <x:c r="G28" s="18" t="str">
        <x:v>Steel fencing and civil products</x:v>
      </x:c>
      <x:c r="H28" s="19" t="n">
        <x:v>496</x:v>
      </x:c>
      <x:c r="I28" s="27" t="n">
        <x:f>H28*Sources!M34</x:f>
        <x:v>178560</x:v>
      </x:c>
      <x:c r="J28" s="18" t="str">
        <x:v>Order by 21 Nov 2026; deliver by 30 Nov 2026</x:v>
      </x:c>
      <x:c r="K28" s="18" t="str">
        <x:v>Medium quality</x:v>
      </x:c>
      <x:c r="L28" s="21" t="d">
        <x:v>2026-11-01T00:00:00.000Z</x:v>
      </x:c>
      <x:c r="M28" s="21" t="d">
        <x:v>2026-11-30T00:00:00.000Z</x:v>
      </x:c>
      <x:c r="N28" s="18" t="str">
        <x:v>Synthetic scenario</x:v>
      </x:c>
      <x:c r="O28" s="22" t="str">
        <x:v>https://www.encat.com.au/</x:v>
      </x:c>
    </x:row>
    <x:row r="29" ht="58" customHeight="1">
      <x:c r="A29" s="23" t="str">
        <x:v>Enfrex Metalworks</x:v>
      </x:c>
      <x:c r="B29" s="24" t="str">
        <x:v>90601374118</x:v>
      </x:c>
      <x:c r="C29" s="23" t="str">
        <x:v>Chatswood</x:v>
      </x:c>
      <x:c r="D29" s="23" t="str">
        <x:v>3-4/175 Lower Gibbes Street</x:v>
      </x:c>
      <x:c r="E29" s="24" t="str">
        <x:v>2067</x:v>
      </x:c>
      <x:c r="F29" s="25" t="str">
        <x:v>Aluminium</x:v>
      </x:c>
      <x:c r="G29" s="25" t="str">
        <x:v>Aluminium fabricated panels, profiles and components</x:v>
      </x:c>
      <x:c r="H29" s="26" t="n">
        <x:v>114</x:v>
      </x:c>
      <x:c r="I29" s="27" t="n">
        <x:f>H29*Sources!M35</x:f>
        <x:v>150480</x:v>
      </x:c>
      <x:c r="J29" s="25" t="str">
        <x:v>Order by 28 Nov 2026; deliver by 30 Nov 2026</x:v>
      </x:c>
      <x:c r="K29" s="25" t="str">
        <x:v>Short use</x:v>
      </x:c>
      <x:c r="L29" s="28" t="d">
        <x:v>2026-11-01T00:00:00.000Z</x:v>
      </x:c>
      <x:c r="M29" s="28" t="d">
        <x:v>2026-11-30T00:00:00.000Z</x:v>
      </x:c>
      <x:c r="N29" s="25" t="str">
        <x:v>Synthetic scenario</x:v>
      </x:c>
      <x:c r="O29" s="29" t="str">
        <x:v>https://enfrex.com.au/</x:v>
      </x:c>
    </x:row>
    <x:row r="30" ht="58" customHeight="1">
      <x:c r="A30" s="3" t="str">
        <x:v>Engineering Fabricators Newcastle</x:v>
      </x:c>
      <x:c r="B30" s="12" t="str">
        <x:v>36151145916</x:v>
      </x:c>
      <x:c r="C30" s="3" t="str">
        <x:v>Black Hill</x:v>
      </x:c>
      <x:c r="D30" s="3" t="str">
        <x:v>14 Imperial Avenue</x:v>
      </x:c>
      <x:c r="E30" s="12" t="str">
        <x:v>2322</x:v>
      </x:c>
      <x:c r="F30" s="18" t="str">
        <x:v>Steel</x:v>
      </x:c>
      <x:c r="G30" s="18" t="str">
        <x:v>Steel fabricated frames, structures and components</x:v>
      </x:c>
      <x:c r="H30" s="19" t="n">
        <x:v>294</x:v>
      </x:c>
      <x:c r="I30" s="27" t="n">
        <x:f>H30*Sources!M36</x:f>
        <x:v>88200</x:v>
      </x:c>
      <x:c r="J30" s="18" t="str">
        <x:v>Order by 14 Nov 2026; deliver by 30 Nov 2026</x:v>
      </x:c>
      <x:c r="K30" s="18" t="str">
        <x:v>Short use</x:v>
      </x:c>
      <x:c r="L30" s="21" t="d">
        <x:v>2026-11-01T00:00:00.000Z</x:v>
      </x:c>
      <x:c r="M30" s="21" t="d">
        <x:v>2026-11-30T00:00:00.000Z</x:v>
      </x:c>
      <x:c r="N30" s="18" t="str">
        <x:v>Synthetic scenario</x:v>
      </x:c>
      <x:c r="O30" s="22" t="str">
        <x:v>https://www.efnewcastle.com.au/</x:v>
      </x:c>
    </x:row>
    <x:row r="31" ht="58" customHeight="1">
      <x:c r="A31" s="23" t="str">
        <x:v>Fabcon Project Group</x:v>
      </x:c>
      <x:c r="B31" s="24" t="str">
        <x:v>57620389184</x:v>
      </x:c>
      <x:c r="C31" s="23" t="str">
        <x:v>Wetherill Park</x:v>
      </x:c>
      <x:c r="D31" s="23" t="str">
        <x:v>14 Blackfriar Place</x:v>
      </x:c>
      <x:c r="E31" s="24" t="str">
        <x:v>2164</x:v>
      </x:c>
      <x:c r="F31" s="25" t="str">
        <x:v>Aluminium</x:v>
      </x:c>
      <x:c r="G31" s="25" t="str">
        <x:v>Aluminium fabricated panels, profiles and components</x:v>
      </x:c>
      <x:c r="H31" s="26" t="n">
        <x:v>210</x:v>
      </x:c>
      <x:c r="I31" s="27" t="n">
        <x:f>H31*Sources!M37</x:f>
        <x:v>405300</x:v>
      </x:c>
      <x:c r="J31" s="25" t="str">
        <x:v>Order by 21 Nov 2026; deliver by 30 Nov 2026</x:v>
      </x:c>
      <x:c r="K31" s="25" t="str">
        <x:v>High quality</x:v>
      </x:c>
      <x:c r="L31" s="28" t="d">
        <x:v>2026-11-01T00:00:00.000Z</x:v>
      </x:c>
      <x:c r="M31" s="28" t="d">
        <x:v>2026-11-30T00:00:00.000Z</x:v>
      </x:c>
      <x:c r="N31" s="25" t="str">
        <x:v>Synthetic scenario</x:v>
      </x:c>
      <x:c r="O31" s="29" t="str">
        <x:v>https://www.fabconprojectgroup.com.au/</x:v>
      </x:c>
    </x:row>
    <x:row r="32" ht="58" customHeight="1">
      <x:c r="A32" s="3" t="str">
        <x:v>FBM Fabrication</x:v>
      </x:c>
      <x:c r="B32" s="12" t="str">
        <x:v>97528341439</x:v>
      </x:c>
      <x:c r="C32" s="3" t="str">
        <x:v>Dapto</x:v>
      </x:c>
      <x:c r="D32" s="3" t="str">
        <x:v>18 Hamilton Street</x:v>
      </x:c>
      <x:c r="E32" s="12" t="str">
        <x:v>2530</x:v>
      </x:c>
      <x:c r="F32" s="18" t="str">
        <x:v>Steel</x:v>
      </x:c>
      <x:c r="G32" s="18" t="str">
        <x:v>Steel fabricated frames, structures and components</x:v>
      </x:c>
      <x:c r="H32" s="19" t="n">
        <x:v>598</x:v>
      </x:c>
      <x:c r="I32" s="27" t="n">
        <x:f>H32*Sources!M38</x:f>
        <x:v>245180</x:v>
      </x:c>
      <x:c r="J32" s="18" t="str">
        <x:v>Order by 21 Nov 2026; deliver by 30 Nov 2026</x:v>
      </x:c>
      <x:c r="K32" s="18" t="str">
        <x:v>High quality</x:v>
      </x:c>
      <x:c r="L32" s="21" t="d">
        <x:v>2026-11-01T00:00:00.000Z</x:v>
      </x:c>
      <x:c r="M32" s="21" t="d">
        <x:v>2026-11-30T00:00:00.000Z</x:v>
      </x:c>
      <x:c r="N32" s="18" t="str">
        <x:v>Synthetic scenario</x:v>
      </x:c>
      <x:c r="O32" s="22" t="str">
        <x:v>https://www.fbmfabrication.com.au/</x:v>
      </x:c>
    </x:row>
    <x:row r="33" ht="58" customHeight="1">
      <x:c r="A33" s="23" t="str">
        <x:v>Gordon Fabrication</x:v>
      </x:c>
      <x:c r="B33" s="24" t="str">
        <x:v>88160790447</x:v>
      </x:c>
      <x:c r="C33" s="23" t="str">
        <x:v>Kirrawee</x:v>
      </x:c>
      <x:c r="D33" s="23" t="str">
        <x:v>Unit 5, 9-11 Ethell Road</x:v>
      </x:c>
      <x:c r="E33" s="24" t="str">
        <x:v>2232</x:v>
      </x:c>
      <x:c r="F33" s="25" t="str">
        <x:v>Steel</x:v>
      </x:c>
      <x:c r="G33" s="25" t="str">
        <x:v>Steel fabricated frames, structures and components</x:v>
      </x:c>
      <x:c r="H33" s="26" t="n">
        <x:v>484</x:v>
      </x:c>
      <x:c r="I33" s="27" t="n">
        <x:f>H33*Sources!M39</x:f>
        <x:v>198440</x:v>
      </x:c>
      <x:c r="J33" s="25" t="str">
        <x:v>Order by 28 Nov 2026; deliver by 30 Nov 2026</x:v>
      </x:c>
      <x:c r="K33" s="25" t="str">
        <x:v>High quality</x:v>
      </x:c>
      <x:c r="L33" s="28" t="d">
        <x:v>2026-11-01T00:00:00.000Z</x:v>
      </x:c>
      <x:c r="M33" s="28" t="d">
        <x:v>2026-11-30T00:00:00.000Z</x:v>
      </x:c>
      <x:c r="N33" s="25" t="str">
        <x:v>Synthetic scenario</x:v>
      </x:c>
      <x:c r="O33" s="29" t="str">
        <x:v>https://gordonfab.com.au/</x:v>
      </x:c>
    </x:row>
    <x:row r="34" ht="58" customHeight="1">
      <x:c r="A34" s="3" t="str">
        <x:v>Hard Bakka</x:v>
      </x:c>
      <x:c r="B34" s="12" t="str">
        <x:v>89622412622</x:v>
      </x:c>
      <x:c r="C34" s="3" t="str">
        <x:v>Prestons</x:v>
      </x:c>
      <x:c r="D34" s="3" t="str">
        <x:v>23-25 Bernera Road</x:v>
      </x:c>
      <x:c r="E34" s="12" t="str">
        <x:v>2170</x:v>
      </x:c>
      <x:c r="F34" s="18" t="str">
        <x:v>Steel</x:v>
      </x:c>
      <x:c r="G34" s="18" t="str">
        <x:v>Steel fabricated frames, structures and components</x:v>
      </x:c>
      <x:c r="H34" s="19" t="n">
        <x:v>432</x:v>
      </x:c>
      <x:c r="I34" s="27" t="n">
        <x:f>H34*Sources!M40</x:f>
        <x:v>155520</x:v>
      </x:c>
      <x:c r="J34" s="18" t="str">
        <x:v>Order by 14 Nov 2026; deliver by 30 Nov 2026</x:v>
      </x:c>
      <x:c r="K34" s="18" t="str">
        <x:v>Medium quality</x:v>
      </x:c>
      <x:c r="L34" s="21" t="d">
        <x:v>2026-11-01T00:00:00.000Z</x:v>
      </x:c>
      <x:c r="M34" s="21" t="d">
        <x:v>2026-11-30T00:00:00.000Z</x:v>
      </x:c>
      <x:c r="N34" s="18" t="str">
        <x:v>Synthetic scenario</x:v>
      </x:c>
      <x:c r="O34" s="22" t="str">
        <x:v>https://www.hardbakka.com.au/</x:v>
      </x:c>
    </x:row>
    <x:row r="35" ht="58" customHeight="1">
      <x:c r="A35" s="23" t="str">
        <x:v>Hycast Metals</x:v>
      </x:c>
      <x:c r="B35" s="24" t="str">
        <x:v>91000335017</x:v>
      </x:c>
      <x:c r="C35" s="23" t="str">
        <x:v>Smithfield</x:v>
      </x:c>
      <x:c r="D35" s="23" t="str">
        <x:v>404 Woodpark Road</x:v>
      </x:c>
      <x:c r="E35" s="24" t="str">
        <x:v>2164</x:v>
      </x:c>
      <x:c r="F35" s="25" t="str">
        <x:v>Alloys</x:v>
      </x:c>
      <x:c r="G35" s="25" t="str">
        <x:v>Precision alloy investment castings</x:v>
      </x:c>
      <x:c r="H35" s="26" t="n">
        <x:v>94</x:v>
      </x:c>
      <x:c r="I35" s="27" t="n">
        <x:f>H35*Sources!M41</x:f>
        <x:v>228420</x:v>
      </x:c>
      <x:c r="J35" s="25" t="str">
        <x:v>Order by 7 Nov 2026; deliver by 30 Nov 2026</x:v>
      </x:c>
      <x:c r="K35" s="25" t="str">
        <x:v>High quality</x:v>
      </x:c>
      <x:c r="L35" s="28" t="d">
        <x:v>2026-11-01T00:00:00.000Z</x:v>
      </x:c>
      <x:c r="M35" s="28" t="d">
        <x:v>2026-11-30T00:00:00.000Z</x:v>
      </x:c>
      <x:c r="N35" s="25" t="str">
        <x:v>Synthetic scenario</x:v>
      </x:c>
      <x:c r="O35" s="29" t="str">
        <x:v>https://www.hycast.com.au/</x:v>
      </x:c>
    </x:row>
    <x:row r="36" ht="58" customHeight="1">
      <x:c r="A36" s="3" t="str">
        <x:v>INFRABUILD (NEWCASTLE) PTY LTD</x:v>
      </x:c>
      <x:c r="B36" s="12" t="str">
        <x:v>50623285718</x:v>
      </x:c>
      <x:c r="C36" s="3" t="str">
        <x:v>Mayfield West</x:v>
      </x:c>
      <x:c r="D36" s="3" t="str">
        <x:v>Ingall Street</x:v>
      </x:c>
      <x:c r="E36" s="12" t="str">
        <x:v>2304</x:v>
      </x:c>
      <x:c r="F36" s="18" t="str">
        <x:v>Steel</x:v>
      </x:c>
      <x:c r="G36" s="18" t="str">
        <x:v>Rolled steel rod products</x:v>
      </x:c>
      <x:c r="H36" s="19" t="n">
        <x:v>257</x:v>
      </x:c>
      <x:c r="I36" s="27" t="n">
        <x:f>H36*Sources!M42</x:f>
        <x:v>77100</x:v>
      </x:c>
      <x:c r="J36" s="18" t="str">
        <x:v>Order by 21 Nov 2026; deliver by 30 Nov 2026</x:v>
      </x:c>
      <x:c r="K36" s="18" t="str">
        <x:v>Short use</x:v>
      </x:c>
      <x:c r="L36" s="21" t="d">
        <x:v>2026-11-01T00:00:00.000Z</x:v>
      </x:c>
      <x:c r="M36" s="21" t="d">
        <x:v>2026-11-30T00:00:00.000Z</x:v>
      </x:c>
      <x:c r="N36" s="18" t="str">
        <x:v>Synthetic scenario</x:v>
      </x:c>
      <x:c r="O36" s="22" t="str">
        <x:v>http://www.infrabuild.com</x:v>
      </x:c>
    </x:row>
    <x:row r="37" ht="58" customHeight="1">
      <x:c r="A37" s="23" t="str">
        <x:v>InfraBuild Reinforcing</x:v>
      </x:c>
      <x:c r="B37" s="24" t="str">
        <x:v>22004148289</x:v>
      </x:c>
      <x:c r="C37" s="23" t="str">
        <x:v>Revesby</x:v>
      </x:c>
      <x:c r="D37" s="23" t="str">
        <x:v>61 Milperra Road</x:v>
      </x:c>
      <x:c r="E37" s="24" t="str">
        <x:v>2212</x:v>
      </x:c>
      <x:c r="F37" s="25" t="str">
        <x:v>Steel</x:v>
      </x:c>
      <x:c r="G37" s="25" t="str">
        <x:v>Steel reinforcing products</x:v>
      </x:c>
      <x:c r="H37" s="26" t="n">
        <x:v>512</x:v>
      </x:c>
      <x:c r="I37" s="27" t="n">
        <x:f>H37*Sources!M43</x:f>
        <x:v>184320</x:v>
      </x:c>
      <x:c r="J37" s="25" t="str">
        <x:v>Order by 14 Nov 2026; deliver by 30 Nov 2026</x:v>
      </x:c>
      <x:c r="K37" s="25" t="str">
        <x:v>Medium quality</x:v>
      </x:c>
      <x:c r="L37" s="28" t="d">
        <x:v>2026-11-01T00:00:00.000Z</x:v>
      </x:c>
      <x:c r="M37" s="28" t="d">
        <x:v>2026-11-30T00:00:00.000Z</x:v>
      </x:c>
      <x:c r="N37" s="25" t="str">
        <x:v>Synthetic scenario</x:v>
      </x:c>
      <x:c r="O37" s="29" t="str">
        <x:v>http://www.onesteel.com</x:v>
      </x:c>
    </x:row>
    <x:row r="38" ht="58" customHeight="1">
      <x:c r="A38" s="3" t="str">
        <x:v>InfraBuild Sydney Steel Mill</x:v>
      </x:c>
      <x:c r="B38" s="12" t="str">
        <x:v>59003312892</x:v>
      </x:c>
      <x:c r="C38" s="3" t="str">
        <x:v>Rooty Hill</x:v>
      </x:c>
      <x:c r="D38" s="3" t="str">
        <x:v>22 Kellogg Road</x:v>
      </x:c>
      <x:c r="E38" s="12" t="str">
        <x:v>2766</x:v>
      </x:c>
      <x:c r="F38" s="18" t="str">
        <x:v>Steel</x:v>
      </x:c>
      <x:c r="G38" s="18" t="str">
        <x:v>Steel billets and reinforcing products</x:v>
      </x:c>
      <x:c r="H38" s="19" t="n">
        <x:v>294</x:v>
      </x:c>
      <x:c r="I38" s="27" t="n">
        <x:f>H38*Sources!M44</x:f>
        <x:v>88200</x:v>
      </x:c>
      <x:c r="J38" s="18" t="str">
        <x:v>Order by 28 Nov 2026; deliver by 30 Nov 2026</x:v>
      </x:c>
      <x:c r="K38" s="18" t="str">
        <x:v>Short use</x:v>
      </x:c>
      <x:c r="L38" s="21" t="d">
        <x:v>2026-11-01T00:00:00.000Z</x:v>
      </x:c>
      <x:c r="M38" s="21" t="d">
        <x:v>2026-11-30T00:00:00.000Z</x:v>
      </x:c>
      <x:c r="N38" s="18" t="str">
        <x:v>Synthetic scenario</x:v>
      </x:c>
      <x:c r="O38" s="22" t="str">
        <x:v>https://www.infrabuild.com/</x:v>
      </x:c>
    </x:row>
    <x:row r="39" ht="58" customHeight="1">
      <x:c r="A39" s="23" t="str">
        <x:v>INFRABUILD WIRE PTY LTD</x:v>
      </x:c>
      <x:c r="B39" s="24" t="str">
        <x:v>59000010873</x:v>
      </x:c>
      <x:c r="C39" s="23" t="str">
        <x:v>Mayfield</x:v>
      </x:c>
      <x:c r="D39" s="23" t="str">
        <x:v>Ingall Street</x:v>
      </x:c>
      <x:c r="E39" s="24" t="str">
        <x:v>2304</x:v>
      </x:c>
      <x:c r="F39" s="25" t="str">
        <x:v>Steel</x:v>
      </x:c>
      <x:c r="G39" s="25" t="str">
        <x:v>Steel spring and wire products</x:v>
      </x:c>
      <x:c r="H39" s="26" t="n">
        <x:v>263</x:v>
      </x:c>
      <x:c r="I39" s="27" t="n">
        <x:f>H39*Sources!M45</x:f>
        <x:v>78900</x:v>
      </x:c>
      <x:c r="J39" s="25" t="str">
        <x:v>Order by 7 Nov 2026; deliver by 30 Nov 2026</x:v>
      </x:c>
      <x:c r="K39" s="25" t="str">
        <x:v>Short use</x:v>
      </x:c>
      <x:c r="L39" s="28" t="d">
        <x:v>2026-11-01T00:00:00.000Z</x:v>
      </x:c>
      <x:c r="M39" s="28" t="d">
        <x:v>2026-11-30T00:00:00.000Z</x:v>
      </x:c>
      <x:c r="N39" s="25" t="str">
        <x:v>Synthetic scenario</x:v>
      </x:c>
      <x:c r="O39" s="29" t="str">
        <x:v>http://www.infrabuild.com</x:v>
      </x:c>
    </x:row>
    <x:row r="40" ht="58" customHeight="1">
      <x:c r="A40" s="3" t="str">
        <x:v>ISG Sheetmetal and Laser</x:v>
      </x:c>
      <x:c r="B40" s="12" t="str">
        <x:v>37060444108</x:v>
      </x:c>
      <x:c r="C40" s="3" t="str">
        <x:v>Tomago</x:v>
      </x:c>
      <x:c r="D40" s="3" t="str">
        <x:v>333 Tomago Road</x:v>
      </x:c>
      <x:c r="E40" s="12" t="str">
        <x:v>2322</x:v>
      </x:c>
      <x:c r="F40" s="18" t="str">
        <x:v>Alloys</x:v>
      </x:c>
      <x:c r="G40" s="18" t="str">
        <x:v>Stainless steel sheetmetal components</x:v>
      </x:c>
      <x:c r="H40" s="19" t="n">
        <x:v>53</x:v>
      </x:c>
      <x:c r="I40" s="27" t="n">
        <x:f>H40*Sources!M46</x:f>
        <x:v>108650</x:v>
      </x:c>
      <x:c r="J40" s="18" t="str">
        <x:v>Order by 21 Nov 2026; deliver by 30 Nov 2026</x:v>
      </x:c>
      <x:c r="K40" s="18" t="str">
        <x:v>Medium quality</x:v>
      </x:c>
      <x:c r="L40" s="21" t="d">
        <x:v>2026-11-01T00:00:00.000Z</x:v>
      </x:c>
      <x:c r="M40" s="21" t="d">
        <x:v>2026-11-30T00:00:00.000Z</x:v>
      </x:c>
      <x:c r="N40" s="18" t="str">
        <x:v>Synthetic scenario</x:v>
      </x:c>
      <x:c r="O40" s="22" t="str">
        <x:v>https://www.isglaser.com.au/</x:v>
      </x:c>
    </x:row>
    <x:row r="41" ht="58" customHeight="1">
      <x:c r="A41" s="23" t="str">
        <x:v>JMG Maintenance &amp; Fabrication</x:v>
      </x:c>
      <x:c r="B41" s="24" t="str">
        <x:v>63117256005</x:v>
      </x:c>
      <x:c r="C41" s="23" t="str">
        <x:v>Muswellbrook</x:v>
      </x:c>
      <x:c r="D41" s="23" t="str">
        <x:v>1 Strathmore Road</x:v>
      </x:c>
      <x:c r="E41" s="24" t="str">
        <x:v>2333</x:v>
      </x:c>
      <x:c r="F41" s="25" t="str">
        <x:v>Steel</x:v>
      </x:c>
      <x:c r="G41" s="25" t="str">
        <x:v>Steel fabricated frames, structures and components</x:v>
      </x:c>
      <x:c r="H41" s="26" t="n">
        <x:v>528</x:v>
      </x:c>
      <x:c r="I41" s="27" t="n">
        <x:f>H41*Sources!M47</x:f>
        <x:v>190080</x:v>
      </x:c>
      <x:c r="J41" s="25" t="str">
        <x:v>Order by 28 Nov 2026; deliver by 30 Nov 2026</x:v>
      </x:c>
      <x:c r="K41" s="25" t="str">
        <x:v>Medium quality</x:v>
      </x:c>
      <x:c r="L41" s="28" t="d">
        <x:v>2026-11-01T00:00:00.000Z</x:v>
      </x:c>
      <x:c r="M41" s="28" t="d">
        <x:v>2026-11-30T00:00:00.000Z</x:v>
      </x:c>
      <x:c r="N41" s="25" t="str">
        <x:v>Synthetic scenario</x:v>
      </x:c>
      <x:c r="O41" s="29" t="str">
        <x:v>https://www.jmgmaintenance.com.au/</x:v>
      </x:c>
    </x:row>
    <x:row r="42" ht="58" customHeight="1">
      <x:c r="A42" s="3" t="str">
        <x:v>KINGSPAN INSULATED PANELS PTY LIMITED</x:v>
      </x:c>
      <x:c r="B42" s="12" t="str">
        <x:v>11106797148</x:v>
      </x:c>
      <x:c r="C42" s="3" t="str">
        <x:v>St Marys</x:v>
      </x:c>
      <x:c r="D42" s="3" t="str">
        <x:v>38-52 Dunheved Cct</x:v>
      </x:c>
      <x:c r="E42" s="12" t="str">
        <x:v>2760</x:v>
      </x:c>
      <x:c r="F42" s="18" t="str">
        <x:v>Steel</x:v>
      </x:c>
      <x:c r="G42" s="18" t="str">
        <x:v>Steel skins for insulated building panels</x:v>
      </x:c>
      <x:c r="H42" s="19" t="n">
        <x:v>619</x:v>
      </x:c>
      <x:c r="I42" s="27" t="n">
        <x:f>H42*Sources!M48</x:f>
        <x:v>253790</x:v>
      </x:c>
      <x:c r="J42" s="18" t="str">
        <x:v>Order by 21 Nov 2026; deliver by 30 Nov 2026</x:v>
      </x:c>
      <x:c r="K42" s="18" t="str">
        <x:v>High quality</x:v>
      </x:c>
      <x:c r="L42" s="21" t="d">
        <x:v>2026-11-01T00:00:00.000Z</x:v>
      </x:c>
      <x:c r="M42" s="21" t="d">
        <x:v>2026-11-30T00:00:00.000Z</x:v>
      </x:c>
      <x:c r="N42" s="18" t="str">
        <x:v>Synthetic scenario</x:v>
      </x:c>
      <x:c r="O42" s="22" t="str">
        <x:v>https://www.kingspan.com/au/en/business-groups/Kingspan-Insulated-Panels/</x:v>
      </x:c>
    </x:row>
    <x:row r="43" ht="58" customHeight="1">
      <x:c r="A43" s="23" t="str">
        <x:v>Kymar Steel Fabrications</x:v>
      </x:c>
      <x:c r="B43" s="24" t="str">
        <x:v>86097427837</x:v>
      </x:c>
      <x:c r="C43" s="23" t="str">
        <x:v>Teralba</x:v>
      </x:c>
      <x:c r="D43" s="23" t="str">
        <x:v>159 Railway Street</x:v>
      </x:c>
      <x:c r="E43" s="24" t="str">
        <x:v>2284</x:v>
      </x:c>
      <x:c r="F43" s="25" t="str">
        <x:v>Alloys</x:v>
      </x:c>
      <x:c r="G43" s="25" t="str">
        <x:v>Stainless steel or alloy fabricated components</x:v>
      </x:c>
      <x:c r="H43" s="26" t="n">
        <x:v>94</x:v>
      </x:c>
      <x:c r="I43" s="27" t="n">
        <x:f>H43*Sources!M49</x:f>
        <x:v>228420</x:v>
      </x:c>
      <x:c r="J43" s="25" t="str">
        <x:v>Order by 21 Nov 2026; deliver by 30 Nov 2026</x:v>
      </x:c>
      <x:c r="K43" s="25" t="str">
        <x:v>High quality</x:v>
      </x:c>
      <x:c r="L43" s="28" t="d">
        <x:v>2026-11-01T00:00:00.000Z</x:v>
      </x:c>
      <x:c r="M43" s="28" t="d">
        <x:v>2026-11-30T00:00:00.000Z</x:v>
      </x:c>
      <x:c r="N43" s="25" t="str">
        <x:v>Synthetic scenario</x:v>
      </x:c>
      <x:c r="O43" s="29" t="str">
        <x:v>https://www.kymarnsw.com.au/</x:v>
      </x:c>
    </x:row>
    <x:row r="44" ht="58" customHeight="1">
      <x:c r="A44" s="3" t="str">
        <x:v>Laser Wizard</x:v>
      </x:c>
      <x:c r="B44" s="12" t="str">
        <x:v>90086151322</x:v>
      </x:c>
      <x:c r="C44" s="3" t="str">
        <x:v>St Marys</x:v>
      </x:c>
      <x:c r="D44" s="3" t="str">
        <x:v>8 Anne Street</x:v>
      </x:c>
      <x:c r="E44" s="12" t="str">
        <x:v>2760</x:v>
      </x:c>
      <x:c r="F44" s="18" t="str">
        <x:v>Steel</x:v>
      </x:c>
      <x:c r="G44" s="18" t="str">
        <x:v>Steel fabricated frames, structures and components</x:v>
      </x:c>
      <x:c r="H44" s="19" t="n">
        <x:v>440</x:v>
      </x:c>
      <x:c r="I44" s="27" t="n">
        <x:f>H44*Sources!M50</x:f>
        <x:v>158400</x:v>
      </x:c>
      <x:c r="J44" s="18" t="str">
        <x:v>Order by 7 Nov 2026; deliver by 30 Nov 2026</x:v>
      </x:c>
      <x:c r="K44" s="18" t="str">
        <x:v>Medium quality</x:v>
      </x:c>
      <x:c r="L44" s="21" t="d">
        <x:v>2026-11-01T00:00:00.000Z</x:v>
      </x:c>
      <x:c r="M44" s="21" t="d">
        <x:v>2026-11-30T00:00:00.000Z</x:v>
      </x:c>
      <x:c r="N44" s="18" t="str">
        <x:v>Synthetic scenario</x:v>
      </x:c>
      <x:c r="O44" s="22" t="str">
        <x:v>https://www.laserwizard.com.au/</x:v>
      </x:c>
    </x:row>
    <x:row r="45" ht="58" customHeight="1">
      <x:c r="A45" s="23" t="str">
        <x:v>Letchford Engineering</x:v>
      </x:c>
      <x:c r="B45" s="24" t="str">
        <x:v>49108601092</x:v>
      </x:c>
      <x:c r="C45" s="23" t="str">
        <x:v>Mona Vale</x:v>
      </x:c>
      <x:c r="D45" s="23" t="str">
        <x:v>5 Taronga Place</x:v>
      </x:c>
      <x:c r="E45" s="24" t="str">
        <x:v>2103</x:v>
      </x:c>
      <x:c r="F45" s="25" t="str">
        <x:v>Aluminium</x:v>
      </x:c>
      <x:c r="G45" s="25" t="str">
        <x:v>Aluminium fabricated panels, profiles and components</x:v>
      </x:c>
      <x:c r="H45" s="26" t="n">
        <x:v>162</x:v>
      </x:c>
      <x:c r="I45" s="27" t="n">
        <x:f>H45*Sources!M51</x:f>
        <x:v>312660</x:v>
      </x:c>
      <x:c r="J45" s="25" t="str">
        <x:v>Order by 14 Nov 2026; deliver by 30 Nov 2026</x:v>
      </x:c>
      <x:c r="K45" s="25" t="str">
        <x:v>High quality</x:v>
      </x:c>
      <x:c r="L45" s="28" t="d">
        <x:v>2026-11-01T00:00:00.000Z</x:v>
      </x:c>
      <x:c r="M45" s="28" t="d">
        <x:v>2026-11-30T00:00:00.000Z</x:v>
      </x:c>
      <x:c r="N45" s="25" t="str">
        <x:v>Synthetic scenario</x:v>
      </x:c>
      <x:c r="O45" s="29" t="str">
        <x:v>https://www.letchfordengineering.com.au/</x:v>
      </x:c>
    </x:row>
    <x:row r="46" ht="58" customHeight="1">
      <x:c r="A46" s="3" t="str">
        <x:v>Lotus Steel</x:v>
      </x:c>
      <x:c r="B46" s="12" t="str">
        <x:v>52620187466</x:v>
      </x:c>
      <x:c r="C46" s="3" t="str">
        <x:v>Mount Druitt</x:v>
      </x:c>
      <x:c r="D46" s="3" t="str">
        <x:v>28 Sunblest Crescent</x:v>
      </x:c>
      <x:c r="E46" s="12" t="str">
        <x:v>2770</x:v>
      </x:c>
      <x:c r="F46" s="18" t="str">
        <x:v>Aluminium</x:v>
      </x:c>
      <x:c r="G46" s="18" t="str">
        <x:v>Aluminium fabricated panels, profiles and components</x:v>
      </x:c>
      <x:c r="H46" s="19" t="n">
        <x:v>225</x:v>
      </x:c>
      <x:c r="I46" s="27" t="n">
        <x:f>H46*Sources!M52</x:f>
        <x:v>434250</x:v>
      </x:c>
      <x:c r="J46" s="18" t="str">
        <x:v>Order by 21 Nov 2026; deliver by 30 Nov 2026</x:v>
      </x:c>
      <x:c r="K46" s="18" t="str">
        <x:v>High quality</x:v>
      </x:c>
      <x:c r="L46" s="21" t="d">
        <x:v>2026-11-01T00:00:00.000Z</x:v>
      </x:c>
      <x:c r="M46" s="21" t="d">
        <x:v>2026-11-30T00:00:00.000Z</x:v>
      </x:c>
      <x:c r="N46" s="18" t="str">
        <x:v>Synthetic scenario</x:v>
      </x:c>
      <x:c r="O46" s="22" t="str">
        <x:v>https://www.lotussteel.com.au/</x:v>
      </x:c>
    </x:row>
    <x:row r="47" ht="58" customHeight="1">
      <x:c r="A47" s="23" t="str">
        <x:v>NCI HOLDINGS PTY LTD</x:v>
      </x:c>
      <x:c r="B47" s="24" t="str">
        <x:v>68004328241</x:v>
      </x:c>
      <x:c r="C47" s="23" t="str">
        <x:v>Glendenning</x:v>
      </x:c>
      <x:c r="D47" s="23" t="str">
        <x:v>194 Power St</x:v>
      </x:c>
      <x:c r="E47" s="24" t="str">
        <x:v>2761</x:v>
      </x:c>
      <x:c r="F47" s="25" t="str">
        <x:v>Aluminium</x:v>
      </x:c>
      <x:c r="G47" s="25" t="str">
        <x:v>Aluminium packaging sheet components</x:v>
      </x:c>
      <x:c r="H47" s="26" t="n">
        <x:v>114</x:v>
      </x:c>
      <x:c r="I47" s="27" t="n">
        <x:f>H47*Sources!M53</x:f>
        <x:v>150480</x:v>
      </x:c>
      <x:c r="J47" s="25" t="str">
        <x:v>Order by 28 Nov 2026; deliver by 30 Nov 2026</x:v>
      </x:c>
      <x:c r="K47" s="25" t="str">
        <x:v>Short use</x:v>
      </x:c>
      <x:c r="L47" s="28" t="d">
        <x:v>2026-11-01T00:00:00.000Z</x:v>
      </x:c>
      <x:c r="M47" s="28" t="d">
        <x:v>2026-11-30T00:00:00.000Z</x:v>
      </x:c>
      <x:c r="N47" s="25" t="str">
        <x:v>Synthetic scenario</x:v>
      </x:c>
      <x:c r="O47" s="29" t="str"/>
    </x:row>
    <x:row r="48" ht="58" customHeight="1">
      <x:c r="A48" s="3" t="str">
        <x:v>NewyFab</x:v>
      </x:c>
      <x:c r="B48" s="12" t="str">
        <x:v>75634516475</x:v>
      </x:c>
      <x:c r="C48" s="3" t="str">
        <x:v>Newcastle</x:v>
      </x:c>
      <x:c r="D48" s="3" t="str"/>
      <x:c r="E48" s="12" t="str"/>
      <x:c r="F48" s="18" t="str">
        <x:v>Steel</x:v>
      </x:c>
      <x:c r="G48" s="18" t="str">
        <x:v>Steel fabricated frames, structures and components</x:v>
      </x:c>
      <x:c r="H48" s="19" t="n">
        <x:v>488</x:v>
      </x:c>
      <x:c r="I48" s="27" t="n">
        <x:f>H48*Sources!M54</x:f>
        <x:v>175680</x:v>
      </x:c>
      <x:c r="J48" s="18" t="str">
        <x:v>Order by 7 Nov 2026; deliver by 30 Nov 2026</x:v>
      </x:c>
      <x:c r="K48" s="18" t="str">
        <x:v>Medium quality</x:v>
      </x:c>
      <x:c r="L48" s="21" t="d">
        <x:v>2026-11-01T00:00:00.000Z</x:v>
      </x:c>
      <x:c r="M48" s="21" t="d">
        <x:v>2026-11-30T00:00:00.000Z</x:v>
      </x:c>
      <x:c r="N48" s="18" t="str">
        <x:v>Synthetic scenario</x:v>
      </x:c>
      <x:c r="O48" s="22" t="str">
        <x:v>https://newyfab.com.au/</x:v>
      </x:c>
    </x:row>
    <x:row r="49" ht="58" customHeight="1">
      <x:c r="A49" s="23" t="str">
        <x:v>OMP Laser and Sheetmetal</x:v>
      </x:c>
      <x:c r="B49" s="24" t="str">
        <x:v>70644229541</x:v>
      </x:c>
      <x:c r="C49" s="23" t="str">
        <x:v>Heatherbrae</x:v>
      </x:c>
      <x:c r="D49" s="23" t="str">
        <x:v>30 Camfield Drive</x:v>
      </x:c>
      <x:c r="E49" s="24" t="str">
        <x:v>2324</x:v>
      </x:c>
      <x:c r="F49" s="25" t="str">
        <x:v>Aluminium</x:v>
      </x:c>
      <x:c r="G49" s="25" t="str">
        <x:v>Aluminium fabricated panels, profiles and components</x:v>
      </x:c>
      <x:c r="H49" s="26" t="n">
        <x:v>150</x:v>
      </x:c>
      <x:c r="I49" s="27" t="n">
        <x:f>H49*Sources!M55</x:f>
        <x:v>259500</x:v>
      </x:c>
      <x:c r="J49" s="25" t="str">
        <x:v>Order by 14 Nov 2026; deliver by 30 Nov 2026</x:v>
      </x:c>
      <x:c r="K49" s="25" t="str">
        <x:v>Medium quality</x:v>
      </x:c>
      <x:c r="L49" s="28" t="d">
        <x:v>2026-11-01T00:00:00.000Z</x:v>
      </x:c>
      <x:c r="M49" s="28" t="d">
        <x:v>2026-11-30T00:00:00.000Z</x:v>
      </x:c>
      <x:c r="N49" s="25" t="str">
        <x:v>Synthetic scenario</x:v>
      </x:c>
      <x:c r="O49" s="29" t="str">
        <x:v>https://www.omp.net.au/</x:v>
      </x:c>
    </x:row>
    <x:row r="50" ht="58" customHeight="1">
      <x:c r="A50" s="3" t="str">
        <x:v>OVERALL FORGE PTY LTD</x:v>
      </x:c>
      <x:c r="B50" s="12" t="str">
        <x:v>13000092946</x:v>
      </x:c>
      <x:c r="C50" s="3" t="str">
        <x:v>Ettamogah</x:v>
      </x:c>
      <x:c r="D50" s="3" t="str">
        <x:v>70 R W Henry Drive</x:v>
      </x:c>
      <x:c r="E50" s="12" t="str">
        <x:v>2640</x:v>
      </x:c>
      <x:c r="F50" s="18" t="str">
        <x:v>Steel</x:v>
      </x:c>
      <x:c r="G50" s="18" t="str">
        <x:v>Steel forgings and machined components</x:v>
      </x:c>
      <x:c r="H50" s="19" t="n">
        <x:v>679</x:v>
      </x:c>
      <x:c r="I50" s="27" t="n">
        <x:f>H50*Sources!M56</x:f>
        <x:v>278390</x:v>
      </x:c>
      <x:c r="J50" s="18" t="str">
        <x:v>Order by 28 Nov 2026; deliver by 30 Nov 2026</x:v>
      </x:c>
      <x:c r="K50" s="18" t="str">
        <x:v>High quality</x:v>
      </x:c>
      <x:c r="L50" s="21" t="d">
        <x:v>2026-11-01T00:00:00.000Z</x:v>
      </x:c>
      <x:c r="M50" s="21" t="d">
        <x:v>2026-11-30T00:00:00.000Z</x:v>
      </x:c>
      <x:c r="N50" s="18" t="str">
        <x:v>Synthetic scenario</x:v>
      </x:c>
      <x:c r="O50" s="22" t="str"/>
    </x:row>
    <x:row r="51" ht="58" customHeight="1">
      <x:c r="A51" s="23" t="str">
        <x:v>Picton Bros Panelspan</x:v>
      </x:c>
      <x:c r="B51" s="24" t="str">
        <x:v>40139721635</x:v>
      </x:c>
      <x:c r="C51" s="23" t="str">
        <x:v>Dubbo</x:v>
      </x:c>
      <x:c r="D51" s="23" t="str">
        <x:v>183 Talbragar Street</x:v>
      </x:c>
      <x:c r="E51" s="24" t="str">
        <x:v>2830</x:v>
      </x:c>
      <x:c r="F51" s="25" t="str">
        <x:v>Steel</x:v>
      </x:c>
      <x:c r="G51" s="25" t="str">
        <x:v>Steel patio and outdoor building components</x:v>
      </x:c>
      <x:c r="H51" s="26" t="n">
        <x:v>260</x:v>
      </x:c>
      <x:c r="I51" s="27" t="n">
        <x:f>H51*Sources!M57</x:f>
        <x:v>78000</x:v>
      </x:c>
      <x:c r="J51" s="25" t="str">
        <x:v>Order by 7 Nov 2026; deliver by 30 Nov 2026</x:v>
      </x:c>
      <x:c r="K51" s="25" t="str">
        <x:v>Short use</x:v>
      </x:c>
      <x:c r="L51" s="28" t="d">
        <x:v>2026-11-01T00:00:00.000Z</x:v>
      </x:c>
      <x:c r="M51" s="28" t="d">
        <x:v>2026-11-30T00:00:00.000Z</x:v>
      </x:c>
      <x:c r="N51" s="25" t="str">
        <x:v>Synthetic scenario</x:v>
      </x:c>
      <x:c r="O51" s="29" t="str">
        <x:v>https://pictonbros.com.au/</x:v>
      </x:c>
    </x:row>
    <x:row r="52" ht="58" customHeight="1">
      <x:c r="A52" s="3" t="str">
        <x:v>PLATINUM Fabrication &amp; Engineering</x:v>
      </x:c>
      <x:c r="B52" s="12" t="str">
        <x:v>67636520315</x:v>
      </x:c>
      <x:c r="C52" s="3" t="str">
        <x:v>Tuggerah</x:v>
      </x:c>
      <x:c r="D52" s="3" t="str">
        <x:v>Unit 10/2 Joule Place</x:v>
      </x:c>
      <x:c r="E52" s="12" t="str">
        <x:v>2259</x:v>
      </x:c>
      <x:c r="F52" s="18" t="str">
        <x:v>Steel</x:v>
      </x:c>
      <x:c r="G52" s="18" t="str">
        <x:v>Steel fabricated frames, structures and components</x:v>
      </x:c>
      <x:c r="H52" s="19" t="n">
        <x:v>506</x:v>
      </x:c>
      <x:c r="I52" s="27" t="n">
        <x:f>H52*Sources!M58</x:f>
        <x:v>207460</x:v>
      </x:c>
      <x:c r="J52" s="18" t="str">
        <x:v>Order by 28 Nov 2026; deliver by 30 Nov 2026</x:v>
      </x:c>
      <x:c r="K52" s="18" t="str">
        <x:v>High quality</x:v>
      </x:c>
      <x:c r="L52" s="21" t="d">
        <x:v>2026-11-01T00:00:00.000Z</x:v>
      </x:c>
      <x:c r="M52" s="21" t="d">
        <x:v>2026-11-30T00:00:00.000Z</x:v>
      </x:c>
      <x:c r="N52" s="18" t="str">
        <x:v>Synthetic scenario</x:v>
      </x:c>
      <x:c r="O52" s="22" t="str">
        <x:v>https://www.platinumfe.com.au/</x:v>
      </x:c>
    </x:row>
    <x:row r="53" ht="58" customHeight="1">
      <x:c r="A53" s="23" t="str">
        <x:v>Primmer Steel</x:v>
      </x:c>
      <x:c r="B53" s="24" t="str">
        <x:v>56160398210</x:v>
      </x:c>
      <x:c r="C53" s="23" t="str">
        <x:v>Nabiac</x:v>
      </x:c>
      <x:c r="D53" s="23" t="str">
        <x:v>13872 Pacific Highway</x:v>
      </x:c>
      <x:c r="E53" s="24" t="str">
        <x:v>2312</x:v>
      </x:c>
      <x:c r="F53" s="25" t="str">
        <x:v>Steel</x:v>
      </x:c>
      <x:c r="G53" s="25" t="str">
        <x:v>Steel fabricated frames, structures and components</x:v>
      </x:c>
      <x:c r="H53" s="26" t="n">
        <x:v>447</x:v>
      </x:c>
      <x:c r="I53" s="27" t="n">
        <x:f>H53*Sources!M59</x:f>
        <x:v>160920</x:v>
      </x:c>
      <x:c r="J53" s="25" t="str">
        <x:v>Order by 7 Nov 2026; deliver by 30 Nov 2026</x:v>
      </x:c>
      <x:c r="K53" s="25" t="str">
        <x:v>Medium quality</x:v>
      </x:c>
      <x:c r="L53" s="28" t="d">
        <x:v>2026-11-01T00:00:00.000Z</x:v>
      </x:c>
      <x:c r="M53" s="28" t="d">
        <x:v>2026-11-30T00:00:00.000Z</x:v>
      </x:c>
      <x:c r="N53" s="25" t="str">
        <x:v>Synthetic scenario</x:v>
      </x:c>
      <x:c r="O53" s="29" t="str">
        <x:v>https://www.primmersteel.com.au/</x:v>
      </x:c>
    </x:row>
    <x:row r="54" ht="58" customHeight="1">
      <x:c r="A54" s="3" t="str">
        <x:v>Pro Steel Engineering &amp; Fabrication</x:v>
      </x:c>
      <x:c r="B54" s="12" t="str">
        <x:v>29663907524</x:v>
      </x:c>
      <x:c r="C54" s="3" t="str">
        <x:v>Peakhurst</x:v>
      </x:c>
      <x:c r="D54" s="3" t="str">
        <x:v>Unit 14/63 Norman Street</x:v>
      </x:c>
      <x:c r="E54" s="12" t="str">
        <x:v>2210</x:v>
      </x:c>
      <x:c r="F54" s="18" t="str">
        <x:v>Steel</x:v>
      </x:c>
      <x:c r="G54" s="18" t="str">
        <x:v>Steel fabricated frames, structures and components</x:v>
      </x:c>
      <x:c r="H54" s="19" t="n">
        <x:v>294</x:v>
      </x:c>
      <x:c r="I54" s="27" t="n">
        <x:f>H54*Sources!M60</x:f>
        <x:v>88200</x:v>
      </x:c>
      <x:c r="J54" s="18" t="str">
        <x:v>Order by 21 Nov 2026; deliver by 30 Nov 2026</x:v>
      </x:c>
      <x:c r="K54" s="18" t="str">
        <x:v>Short use</x:v>
      </x:c>
      <x:c r="L54" s="21" t="d">
        <x:v>2026-11-01T00:00:00.000Z</x:v>
      </x:c>
      <x:c r="M54" s="21" t="d">
        <x:v>2026-11-30T00:00:00.000Z</x:v>
      </x:c>
      <x:c r="N54" s="18" t="str">
        <x:v>Synthetic scenario</x:v>
      </x:c>
      <x:c r="O54" s="22" t="str">
        <x:v>https://prosteelengineering.com.au/</x:v>
      </x:c>
    </x:row>
    <x:row r="55" ht="58" customHeight="1">
      <x:c r="A55" s="23" t="str">
        <x:v>Prysmian Australia</x:v>
      </x:c>
      <x:c r="B55" s="24" t="str">
        <x:v>36096594080</x:v>
      </x:c>
      <x:c r="C55" s="23" t="str">
        <x:v>Liverpool</x:v>
      </x:c>
      <x:c r="D55" s="23" t="str">
        <x:v>1 Heathcote Road</x:v>
      </x:c>
      <x:c r="E55" s="24" t="str">
        <x:v>2170</x:v>
      </x:c>
      <x:c r="F55" s="25" t="str">
        <x:v>Copper</x:v>
      </x:c>
      <x:c r="G55" s="25" t="str">
        <x:v>Copper electrical cable conductors</x:v>
      </x:c>
      <x:c r="H55" s="26" t="n">
        <x:v>88</x:v>
      </x:c>
      <x:c r="I55" s="27" t="n">
        <x:f>H55*Sources!M61</x:f>
        <x:v>828960</x:v>
      </x:c>
      <x:c r="J55" s="25" t="str">
        <x:v>Order by 14 Nov 2026; deliver by 30 Nov 2026</x:v>
      </x:c>
      <x:c r="K55" s="25" t="str">
        <x:v>High quality</x:v>
      </x:c>
      <x:c r="L55" s="28" t="d">
        <x:v>2026-11-01T00:00:00.000Z</x:v>
      </x:c>
      <x:c r="M55" s="28" t="d">
        <x:v>2026-11-30T00:00:00.000Z</x:v>
      </x:c>
      <x:c r="N55" s="25" t="str">
        <x:v>Synthetic scenario</x:v>
      </x:c>
      <x:c r="O55" s="29" t="str">
        <x:v>https://australia.prysmian.com/</x:v>
      </x:c>
    </x:row>
    <x:row r="56" ht="58" customHeight="1">
      <x:c r="A56" s="3" t="str">
        <x:v>RHEEM AUSTRALIA PTY LTD</x:v>
      </x:c>
      <x:c r="B56" s="12" t="str">
        <x:v>21098823511</x:v>
      </x:c>
      <x:c r="C56" s="3" t="str">
        <x:v>Rydalmere</x:v>
      </x:c>
      <x:c r="D56" s="3" t="str">
        <x:v>55 Brodie St</x:v>
      </x:c>
      <x:c r="E56" s="12" t="str">
        <x:v>2116</x:v>
      </x:c>
      <x:c r="F56" s="18" t="str">
        <x:v>Steel</x:v>
      </x:c>
      <x:c r="G56" s="18" t="str">
        <x:v>Steel water-heater cylinders</x:v>
      </x:c>
      <x:c r="H56" s="19" t="n">
        <x:v>272</x:v>
      </x:c>
      <x:c r="I56" s="27" t="n">
        <x:f>H56*Sources!M62</x:f>
        <x:v>81600</x:v>
      </x:c>
      <x:c r="J56" s="18" t="str">
        <x:v>Order by 28 Nov 2026; deliver by 30 Nov 2026</x:v>
      </x:c>
      <x:c r="K56" s="18" t="str">
        <x:v>Short use</x:v>
      </x:c>
      <x:c r="L56" s="21" t="d">
        <x:v>2026-11-01T00:00:00.000Z</x:v>
      </x:c>
      <x:c r="M56" s="21" t="d">
        <x:v>2026-11-30T00:00:00.000Z</x:v>
      </x:c>
      <x:c r="N56" s="18" t="str">
        <x:v>Synthetic scenario</x:v>
      </x:c>
      <x:c r="O56" s="22" t="str">
        <x:v>http://www.rheem.com.au</x:v>
      </x:c>
    </x:row>
    <x:row r="57" ht="58" customHeight="1">
      <x:c r="A57" s="23" t="str">
        <x:v>SCF Industries</x:v>
      </x:c>
      <x:c r="B57" s="24" t="str">
        <x:v>70161953537</x:v>
      </x:c>
      <x:c r="C57" s="23" t="str">
        <x:v>Albion Park Rail</x:v>
      </x:c>
      <x:c r="D57" s="23" t="str">
        <x:v>Unit 2, 6 Shaban Street</x:v>
      </x:c>
      <x:c r="E57" s="24" t="str">
        <x:v>2527</x:v>
      </x:c>
      <x:c r="F57" s="25" t="str">
        <x:v>Steel</x:v>
      </x:c>
      <x:c r="G57" s="25" t="str">
        <x:v>Steel fabricated frames, structures and components</x:v>
      </x:c>
      <x:c r="H57" s="26" t="n">
        <x:v>644</x:v>
      </x:c>
      <x:c r="I57" s="27" t="n">
        <x:f>H57*Sources!M63</x:f>
        <x:v>264040</x:v>
      </x:c>
      <x:c r="J57" s="25" t="str">
        <x:v>Order by 7 Nov 2026; deliver by 30 Nov 2026</x:v>
      </x:c>
      <x:c r="K57" s="25" t="str">
        <x:v>High quality</x:v>
      </x:c>
      <x:c r="L57" s="28" t="d">
        <x:v>2026-11-01T00:00:00.000Z</x:v>
      </x:c>
      <x:c r="M57" s="28" t="d">
        <x:v>2026-11-30T00:00:00.000Z</x:v>
      </x:c>
      <x:c r="N57" s="25" t="str">
        <x:v>Synthetic scenario</x:v>
      </x:c>
      <x:c r="O57" s="29" t="str">
        <x:v>https://www.scfindustries.com.au/</x:v>
      </x:c>
    </x:row>
    <x:row r="58" ht="58" customHeight="1">
      <x:c r="A58" s="3" t="str">
        <x:v>Sidney &amp; Hacking</x:v>
      </x:c>
      <x:c r="B58" s="12" t="str">
        <x:v>43664504983</x:v>
      </x:c>
      <x:c r="C58" s="3" t="str">
        <x:v>South Lismore</x:v>
      </x:c>
      <x:c r="D58" s="3" t="str">
        <x:v>21 Habib Drive</x:v>
      </x:c>
      <x:c r="E58" s="12" t="str">
        <x:v>2480</x:v>
      </x:c>
      <x:c r="F58" s="18" t="str">
        <x:v>Alloys</x:v>
      </x:c>
      <x:c r="G58" s="18" t="str">
        <x:v>Stainless steel kitchen and sheetmetal components</x:v>
      </x:c>
      <x:c r="H58" s="19" t="n">
        <x:v>90</x:v>
      </x:c>
      <x:c r="I58" s="27" t="n">
        <x:f>H58*Sources!M64</x:f>
        <x:v>218700</x:v>
      </x:c>
      <x:c r="J58" s="18" t="str">
        <x:v>Order by 28 Nov 2026; deliver by 30 Nov 2026</x:v>
      </x:c>
      <x:c r="K58" s="18" t="str">
        <x:v>High quality</x:v>
      </x:c>
      <x:c r="L58" s="21" t="d">
        <x:v>2026-11-01T00:00:00.000Z</x:v>
      </x:c>
      <x:c r="M58" s="21" t="d">
        <x:v>2026-11-30T00:00:00.000Z</x:v>
      </x:c>
      <x:c r="N58" s="18" t="str">
        <x:v>Synthetic scenario</x:v>
      </x:c>
      <x:c r="O58" s="22" t="str">
        <x:v>https://www.lismoreplumbers.com.au/</x:v>
      </x:c>
    </x:row>
    <x:row r="59" ht="58" customHeight="1">
      <x:c r="A59" s="23" t="str">
        <x:v>Silver Raven</x:v>
      </x:c>
      <x:c r="B59" s="24" t="str">
        <x:v>58084884499</x:v>
      </x:c>
      <x:c r="C59" s="23" t="str">
        <x:v>Marrickville</x:v>
      </x:c>
      <x:c r="D59" s="23" t="str">
        <x:v>Suite 2, 105 Victoria Road</x:v>
      </x:c>
      <x:c r="E59" s="24" t="str">
        <x:v>2204</x:v>
      </x:c>
      <x:c r="F59" s="25" t="str">
        <x:v>Alloys</x:v>
      </x:c>
      <x:c r="G59" s="25" t="str">
        <x:v>Stainless steel or alloy fabricated components</x:v>
      </x:c>
      <x:c r="H59" s="26" t="n">
        <x:v>76</x:v>
      </x:c>
      <x:c r="I59" s="27" t="n">
        <x:f>H59*Sources!M65</x:f>
        <x:v>184680</x:v>
      </x:c>
      <x:c r="J59" s="25" t="str">
        <x:v>Order by 7 Nov 2026; deliver by 30 Nov 2026</x:v>
      </x:c>
      <x:c r="K59" s="25" t="str">
        <x:v>High quality</x:v>
      </x:c>
      <x:c r="L59" s="28" t="d">
        <x:v>2026-11-01T00:00:00.000Z</x:v>
      </x:c>
      <x:c r="M59" s="28" t="d">
        <x:v>2026-11-30T00:00:00.000Z</x:v>
      </x:c>
      <x:c r="N59" s="25" t="str">
        <x:v>Synthetic scenario</x:v>
      </x:c>
      <x:c r="O59" s="29" t="str">
        <x:v>https://silverraven.com.au/</x:v>
      </x:c>
    </x:row>
    <x:row r="60" ht="58" customHeight="1">
      <x:c r="A60" s="3" t="str">
        <x:v>The Wagga Iron Foundry</x:v>
      </x:c>
      <x:c r="B60" s="12" t="str">
        <x:v>29102548309</x:v>
      </x:c>
      <x:c r="C60" s="3" t="str">
        <x:v>East Wagga Wagga</x:v>
      </x:c>
      <x:c r="D60" s="3" t="str">
        <x:v>220-224 Hammond Avenue</x:v>
      </x:c>
      <x:c r="E60" s="12" t="str">
        <x:v>2650</x:v>
      </x:c>
      <x:c r="F60" s="18" t="str">
        <x:v>Steel</x:v>
      </x:c>
      <x:c r="G60" s="18" t="str">
        <x:v>Cast iron components</x:v>
      </x:c>
      <x:c r="H60" s="19" t="n">
        <x:v>480</x:v>
      </x:c>
      <x:c r="I60" s="27" t="n">
        <x:f>H60*Sources!M66</x:f>
        <x:v>172800</x:v>
      </x:c>
      <x:c r="J60" s="18" t="str">
        <x:v>Order by 21 Nov 2026; deliver by 30 Nov 2026</x:v>
      </x:c>
      <x:c r="K60" s="18" t="str">
        <x:v>Medium quality</x:v>
      </x:c>
      <x:c r="L60" s="21" t="d">
        <x:v>2026-11-01T00:00:00.000Z</x:v>
      </x:c>
      <x:c r="M60" s="21" t="d">
        <x:v>2026-11-30T00:00:00.000Z</x:v>
      </x:c>
      <x:c r="N60" s="18" t="str">
        <x:v>Synthetic scenario</x:v>
      </x:c>
      <x:c r="O60" s="22" t="str">
        <x:v>https://www.waggaironfoundry.com.au/</x:v>
      </x:c>
    </x:row>
    <x:row r="61" ht="58" customHeight="1">
      <x:c r="A61" s="23" t="str">
        <x:v>Tusken Engineering</x:v>
      </x:c>
      <x:c r="B61" s="24" t="str">
        <x:v>38328105632</x:v>
      </x:c>
      <x:c r="C61" s="23" t="str">
        <x:v>Narellan</x:v>
      </x:c>
      <x:c r="D61" s="23" t="str">
        <x:v>16 Bellingham Street</x:v>
      </x:c>
      <x:c r="E61" s="24" t="str">
        <x:v>2567</x:v>
      </x:c>
      <x:c r="F61" s="25" t="str">
        <x:v>Steel</x:v>
      </x:c>
      <x:c r="G61" s="25" t="str">
        <x:v>Steel fabricated frames, structures and components</x:v>
      </x:c>
      <x:c r="H61" s="26" t="n">
        <x:v>587</x:v>
      </x:c>
      <x:c r="I61" s="27" t="n">
        <x:f>H61*Sources!M67</x:f>
        <x:v>240670</x:v>
      </x:c>
      <x:c r="J61" s="25" t="str">
        <x:v>Order by 21 Nov 2026; deliver by 30 Nov 2026</x:v>
      </x:c>
      <x:c r="K61" s="25" t="str">
        <x:v>High quality</x:v>
      </x:c>
      <x:c r="L61" s="28" t="d">
        <x:v>2026-11-01T00:00:00.000Z</x:v>
      </x:c>
      <x:c r="M61" s="28" t="d">
        <x:v>2026-11-30T00:00:00.000Z</x:v>
      </x:c>
      <x:c r="N61" s="25" t="str">
        <x:v>Synthetic scenario</x:v>
      </x:c>
      <x:c r="O61" s="29" t="str">
        <x:v>https://tuskenengineering.com.au/</x:v>
      </x:c>
    </x:row>
    <x:row r="62" ht="58" customHeight="1">
      <x:c r="A62" s="3" t="str">
        <x:v>Tyree Transformers</x:v>
      </x:c>
      <x:c r="B62" s="12" t="str">
        <x:v>12100920063</x:v>
      </x:c>
      <x:c r="C62" s="3" t="str">
        <x:v>Braemar</x:v>
      </x:c>
      <x:c r="D62" s="3" t="str">
        <x:v>10 Tyree Place</x:v>
      </x:c>
      <x:c r="E62" s="12" t="str">
        <x:v>2575</x:v>
      </x:c>
      <x:c r="F62" s="18" t="str">
        <x:v>Copper</x:v>
      </x:c>
      <x:c r="G62" s="18" t="str">
        <x:v>Copper transformer windings</x:v>
      </x:c>
      <x:c r="H62" s="19" t="n">
        <x:v>62</x:v>
      </x:c>
      <x:c r="I62" s="27" t="n">
        <x:f>H62*Sources!M68</x:f>
        <x:v>584040</x:v>
      </x:c>
      <x:c r="J62" s="18" t="str">
        <x:v>Order by 14 Nov 2026; deliver by 30 Nov 2026</x:v>
      </x:c>
      <x:c r="K62" s="18" t="str">
        <x:v>High quality</x:v>
      </x:c>
      <x:c r="L62" s="21" t="d">
        <x:v>2026-11-01T00:00:00.000Z</x:v>
      </x:c>
      <x:c r="M62" s="21" t="d">
        <x:v>2026-11-30T00:00:00.000Z</x:v>
      </x:c>
      <x:c r="N62" s="18" t="str">
        <x:v>Synthetic scenario</x:v>
      </x:c>
      <x:c r="O62" s="22" t="str">
        <x:v>https://www.tyree.com.au/</x:v>
      </x:c>
    </x:row>
    <x:row r="63" ht="58" customHeight="1">
      <x:c r="A63" s="23" t="str">
        <x:v>VIP STEEL PACKAGING PTY LTD</x:v>
      </x:c>
      <x:c r="B63" s="24" t="str">
        <x:v>22095314195</x:v>
      </x:c>
      <x:c r="C63" s="23" t="str">
        <x:v>Granville</x:v>
      </x:c>
      <x:c r="D63" s="23" t="str">
        <x:v>11a Ferndell Street</x:v>
      </x:c>
      <x:c r="E63" s="24" t="str">
        <x:v>2142</x:v>
      </x:c>
      <x:c r="F63" s="25" t="str">
        <x:v>Steel</x:v>
      </x:c>
      <x:c r="G63" s="25" t="str">
        <x:v>Steel packaging components</x:v>
      </x:c>
      <x:c r="H63" s="26" t="n">
        <x:v>544</x:v>
      </x:c>
      <x:c r="I63" s="27" t="n">
        <x:f>H63*Sources!M69</x:f>
        <x:v>195840</x:v>
      </x:c>
      <x:c r="J63" s="25" t="str">
        <x:v>Order by 21 Nov 2026; deliver by 30 Nov 2026</x:v>
      </x:c>
      <x:c r="K63" s="25" t="str">
        <x:v>Medium quality</x:v>
      </x:c>
      <x:c r="L63" s="28" t="d">
        <x:v>2026-11-01T00:00:00.000Z</x:v>
      </x:c>
      <x:c r="M63" s="28" t="d">
        <x:v>2026-11-30T00:00:00.000Z</x:v>
      </x:c>
      <x:c r="N63" s="25" t="str">
        <x:v>Synthetic scenario</x:v>
      </x:c>
      <x:c r="O63" s="29" t="str">
        <x:v>http://www.vippackaging.com.au</x:v>
      </x:c>
    </x:row>
    <x:row r="64" ht="58" customHeight="1">
      <x:c r="A64" s="3" t="str">
        <x:v>Wagga Engineering &amp; Fabrication</x:v>
      </x:c>
      <x:c r="B64" s="12" t="str">
        <x:v>77621388814</x:v>
      </x:c>
      <x:c r="C64" s="3" t="str">
        <x:v>Wagga Wagga</x:v>
      </x:c>
      <x:c r="D64" s="3" t="str"/>
      <x:c r="E64" s="12" t="str"/>
      <x:c r="F64" s="18" t="str">
        <x:v>Aluminium</x:v>
      </x:c>
      <x:c r="G64" s="18" t="str">
        <x:v>Aluminium fabricated panels, profiles and components</x:v>
      </x:c>
      <x:c r="H64" s="19" t="n">
        <x:v>165</x:v>
      </x:c>
      <x:c r="I64" s="27" t="n">
        <x:f>H64*Sources!M70</x:f>
        <x:v>285450</x:v>
      </x:c>
      <x:c r="J64" s="18" t="str">
        <x:v>Order by 7 Nov 2026; deliver by 30 Nov 2026</x:v>
      </x:c>
      <x:c r="K64" s="18" t="str">
        <x:v>Medium quality</x:v>
      </x:c>
      <x:c r="L64" s="21" t="d">
        <x:v>2026-11-01T00:00:00.000Z</x:v>
      </x:c>
      <x:c r="M64" s="21" t="d">
        <x:v>2026-11-30T00:00:00.000Z</x:v>
      </x:c>
      <x:c r="N64" s="18" t="str">
        <x:v>Synthetic scenario</x:v>
      </x:c>
      <x:c r="O64" s="22" t="str">
        <x:v>https://www.waggaengineering.com.au/</x:v>
      </x:c>
    </x:row>
    <x:row r="65" ht="58" customHeight="1">
      <x:c r="A65" s="23" t="str">
        <x:v>WEIR MINERALS AUSTRALIA LTD</x:v>
      </x:c>
      <x:c r="B65" s="24" t="str">
        <x:v>69009701802</x:v>
      </x:c>
      <x:c r="C65" s="23" t="str">
        <x:v>Artarmon</x:v>
      </x:c>
      <x:c r="D65" s="23" t="str">
        <x:v>1 Marden Street</x:v>
      </x:c>
      <x:c r="E65" s="24" t="str">
        <x:v>2064</x:v>
      </x:c>
      <x:c r="F65" s="25" t="str">
        <x:v>Alloys</x:v>
      </x:c>
      <x:c r="G65" s="25" t="str">
        <x:v>Alloy pump and industrial castings</x:v>
      </x:c>
      <x:c r="H65" s="26" t="n">
        <x:v>63</x:v>
      </x:c>
      <x:c r="I65" s="27" t="n">
        <x:f>H65*Sources!M71</x:f>
        <x:v>148680</x:v>
      </x:c>
      <x:c r="J65" s="25" t="str">
        <x:v>Order by 28 Nov 2026; deliver by 30 Nov 2026</x:v>
      </x:c>
      <x:c r="K65" s="25" t="str">
        <x:v>High quality</x:v>
      </x:c>
      <x:c r="L65" s="28" t="d">
        <x:v>2026-11-01T00:00:00.000Z</x:v>
      </x:c>
      <x:c r="M65" s="28" t="d">
        <x:v>2026-11-30T00:00:00.000Z</x:v>
      </x:c>
      <x:c r="N65" s="25" t="str">
        <x:v>Synthetic scenario</x:v>
      </x:c>
      <x:c r="O65" s="29" t="str">
        <x:v>https://www.global.weir/australia/</x:v>
      </x:c>
    </x:row>
  </x:sheetData>
  <x:mergeCells>
    <x:mergeCell ref="A1:E1"/>
    <x:mergeCell ref="F1:O1"/>
    <x:mergeCell ref="A2:O2"/>
  </x:mergeCells>
  <x:dataValidations count="2">
    <x:dataValidation type="list" sqref="K5:K65">
      <x:formula1>"High quality,Medium quality,Short use"</x:formula1>
    </x:dataValidation>
    <x:dataValidation type="list" sqref="F5:F65">
      <x:formula1>"Steel,Copper,Aluminium,Brass,Alloys"</x:formula1>
    </x:dataValidation>
  </x:dataValidations>
  <x:pageMargins left="0.7" right="0.7" top="0.75" bottom="0.75" header="0.3" footer="0.3"/>
  <x:tableParts count="1">
    <x:tablePart xmlns:r="http://schemas.openxmlformats.org/officeDocument/2006/relationships" r:id="Rd2db156311764e87"/>
  </x:tableParts>
</x:worksheet>
</file>

<file path=xl/worksheets/sheet2.xml><?xml version="1.0" encoding="utf-8"?>
<x:worksheet xmlns:x="http://schemas.openxmlformats.org/spreadsheetml/2006/main">
  <x:sheetPr>
    <x:tabColor rgb="FF4E6F63"/>
  </x:sheetPr>
  <x:sheetViews>
    <x:sheetView showGridLines="0" workbookViewId="0">
      <x:pane xSplit="2" ySplit="10" topLeftCell="C11" activePane="bottomRight" state="frozen"/>
    </x:sheetView>
  </x:sheetViews>
  <x:sheetFormatPr defaultRowHeight="15"/>
  <x:cols>
    <x:col min="1" max="1" width="36" hidden="0" customWidth="1"/>
    <x:col min="2" max="2" width="15" hidden="0" customWidth="1"/>
    <x:col min="3" max="3" width="42" hidden="0" customWidth="1"/>
    <x:col min="4" max="4" width="48" hidden="0" customWidth="1"/>
    <x:col min="5" max="5" width="48" hidden="0" customWidth="1"/>
    <x:col min="6" max="6" width="57" hidden="0" customWidth="1"/>
    <x:col min="7" max="7" width="48" hidden="0" customWidth="1"/>
    <x:col min="8" max="8" width="48" hidden="0" customWidth="1"/>
    <x:col min="9" max="9" width="66" hidden="0" customWidth="1"/>
    <x:col min="10" max="10" width="20" hidden="0" customWidth="1"/>
    <x:col min="11" max="11" width="16" hidden="0" customWidth="1"/>
    <x:col min="12" max="12" width="16" hidden="0" customWidth="1"/>
    <x:col min="13" max="13" width="25" hidden="0" customWidth="1"/>
  </x:cols>
  <x:sheetData>
    <x:row r="1" ht="35" customHeight="1">
      <x:c r="A1" s="5" t="str">
        <x:v>Manufacturers | Identity sources and synthetic scenario definitions | Updated 03 Oct 2026</x:v>
      </x:c>
      <x:c r="B1" s="5"/>
      <x:c r="C1" s="5"/>
      <x:c r="D1" s="5"/>
      <x:c r="E1" s="5"/>
    </x:row>
    <x:row r="2" ht="47" customHeight="1">
      <x:c r="A2" s="32" t="str">
        <x:v>61 authentic businesses, one ABN per row. Company names, ABNs and published NSW locations are real; material offers and buying requests are fictional. Businesses may appear in both roles.</x:v>
      </x:c>
      <x:c r="B2" s="32"/>
      <x:c r="C2" s="32"/>
      <x:c r="D2" s="32"/>
      <x:c r="E2" s="32"/>
    </x:row>
    <x:row r="3" ht="47" customHeight="1">
      <x:c r="A3" s="34" t="str">
        <x:v>SYNTHETIC fields: inputs, outputs, quantities, Cert A–E, quality grades, prices, required materials, intended products, budgets and purchase timeframes. No actual supply, demand or company credentials are asserted.</x:v>
      </x:c>
      <x:c r="B3" s="34"/>
      <x:c r="C3" s="34"/>
      <x:c r="D3" s="34"/>
      <x:c r="E3" s="34"/>
    </x:row>
    <x:row r="4" ht="47" customHeight="1">
      <x:c r="A4" s="34" t="str">
        <x:v>Supply quantities cover 01–30 Nov 2026 and are measured in metric tonnes. Pricing is a fictional AUD amount per tonne, excluding GST and transport. Manufacturer budgets are total tender budgets on the same basis.</x:v>
      </x:c>
      <x:c r="B4" s="34"/>
      <x:c r="C4" s="34"/>
      <x:c r="D4" s="34"/>
      <x:c r="E4" s="34"/>
    </x:row>
    <x:row r="5" ht="47" customHeight="1">
      <x:c r="A5" s="34" t="str">
        <x:v>Cert A–E are fictional demo tags, with no link to real certification systems. High quality, Medium quality and Short use are synthetic matching categories. Manufacturers’ Output grade means the requested material quality.</x:v>
      </x:c>
      <x:c r="B5" s="34"/>
      <x:c r="C5" s="34"/>
      <x:c r="D5" s="34"/>
      <x:c r="E5" s="34"/>
    </x:row>
    <x:row r="6" ht="47" customHeight="1">
      <x:c r="A6" s="32" t="str">
        <x:v>Each tender is larger than every independent single offer with the same material and exact grade. A combination of at least two other producer businesses can cover it. The buyer’s own producer row is excluded.</x:v>
      </x:c>
      <x:c r="B6" s="32"/>
      <x:c r="C6" s="32"/>
      <x:c r="D6" s="32"/>
      <x:c r="E6" s="32"/>
    </x:row>
    <x:row r="7" ht="47" customHeight="1">
      <x:c r="A7" s="32" t="str">
        <x:v>Tenders are independently feasible demo alternatives, not simultaneous reservations of the same inventory. Alloys represents segregated stainless steel and other alloy streams; real grades and processing would need confirmation.</x:v>
      </x:c>
      <x:c r="B7" s="32"/>
      <x:c r="C7" s="32"/>
      <x:c r="D7" s="32"/>
      <x:c r="E7" s="32"/>
    </x:row>
    <x:row r="8" ht="47" customHeight="1">
      <x:c r="A8" s="32" t="str">
        <x:v>Blank street addresses and postcodes were not invented. Source notes distinguish contact addresses from factories. Manufacturer budget formulas use the synthetic budget-per-tonne inputs in column M below.</x:v>
      </x:c>
      <x:c r="B8" s="32"/>
      <x:c r="C8" s="32"/>
      <x:c r="D8" s="32"/>
      <x:c r="E8" s="32"/>
    </x:row>
    <x:row r="10" ht="35" customHeight="1">
      <x:c r="A10" s="36" t="str">
        <x:v>Company / business</x:v>
      </x:c>
      <x:c r="B10" s="36" t="str">
        <x:v>ABN</x:v>
      </x:c>
      <x:c r="C10" s="36" t="str">
        <x:v>Legal entity</x:v>
      </x:c>
      <x:c r="D10" s="36" t="str">
        <x:v>Identity source</x:v>
      </x:c>
      <x:c r="E10" s="36" t="str">
        <x:v>NSW location source</x:v>
      </x:c>
      <x:c r="F10" s="36" t="str">
        <x:v>Published activity</x:v>
      </x:c>
      <x:c r="G10" s="36" t="str">
        <x:v>Activity source</x:v>
      </x:c>
      <x:c r="H10" s="36" t="str">
        <x:v>Supporting source</x:v>
      </x:c>
      <x:c r="I10" s="36" t="str">
        <x:v>Location / identity notes</x:v>
      </x:c>
      <x:c r="J10" s="36" t="str">
        <x:v>NPI facility ID(s)</x:v>
      </x:c>
      <x:c r="K10" s="36" t="str">
        <x:v>Latitude</x:v>
      </x:c>
      <x:c r="L10" s="36" t="str">
        <x:v>Longitude</x:v>
      </x:c>
      <x:c r="M10" s="36" t="str">
        <x:v>Synthetic budget rate (AUD/tonne)</x:v>
      </x:c>
    </x:row>
    <x:row r="11" ht="90" customHeight="1">
      <x:c r="A11" s="3" t="str">
        <x:v>Absolute Steel Fabrication &amp; Welding</x:v>
      </x:c>
      <x:c r="B11" s="12" t="str">
        <x:v>37660612831</x:v>
      </x:c>
      <x:c r="C11" s="3" t="str">
        <x:v>ABSOLUTE STEEL FABRICATION &amp; WELDING PTY LTD</x:v>
      </x:c>
      <x:c r="D11" s="3" t="str">
        <x:v>https://abr.business.gov.au/ABN/View?id=37660612831</x:v>
      </x:c>
      <x:c r="E11" s="3" t="str">
        <x:v>https://www.absolutesteelfabandwelding.com.au/contact-us</x:v>
      </x:c>
      <x:c r="F11" s="3" t="str">
        <x:v>Steel fabrication and welding</x:v>
      </x:c>
      <x:c r="G11" s="3" t="str">
        <x:v>https://www.absolutesteelfabandwelding.com.au/contact-us</x:v>
      </x:c>
      <x:c r="H11" s="3" t="str"/>
      <x:c r="I11" s="3" t="str">
        <x:v>Additional researched business. </x:v>
      </x:c>
      <x:c r="J11" s="12" t="str"/>
      <x:c r="K11" s="37"/>
      <x:c r="L11" s="37"/>
      <x:c r="M11" s="20" t="n">
        <x:v>410</x:v>
      </x:c>
    </x:row>
    <x:row r="12" ht="90" customHeight="1">
      <x:c r="A12" s="3" t="str">
        <x:v>Academy Sheetmetal</x:v>
      </x:c>
      <x:c r="B12" s="12" t="str">
        <x:v>27100479187</x:v>
      </x:c>
      <x:c r="C12" s="3" t="str">
        <x:v>ACADEMY SHEETMETAL PTY LTD</x:v>
      </x:c>
      <x:c r="D12" s="3" t="str">
        <x:v>https://abr.business.gov.au/ABN/View/27100479187</x:v>
      </x:c>
      <x:c r="E12" s="3" t="str">
        <x:v>https://academysheetmetal.com.au/</x:v>
      </x:c>
      <x:c r="F12" s="3" t="str">
        <x:v>Steel sheetmetal cutting and fabrication</x:v>
      </x:c>
      <x:c r="G12" s="3" t="str">
        <x:v>https://academysheetmetal.com.au/</x:v>
      </x:c>
      <x:c r="H12" s="3" t="str"/>
      <x:c r="I12" s="3" t="str">
        <x:v>Additional researched business. </x:v>
      </x:c>
      <x:c r="J12" s="12" t="str"/>
      <x:c r="K12" s="37"/>
      <x:c r="L12" s="37"/>
      <x:c r="M12" s="20" t="n">
        <x:v>360</x:v>
      </x:c>
    </x:row>
    <x:row r="13" ht="90" customHeight="1">
      <x:c r="A13" s="3" t="str">
        <x:v>Agriweld Engineering</x:v>
      </x:c>
      <x:c r="B13" s="12" t="str">
        <x:v>79130563183</x:v>
      </x:c>
      <x:c r="C13" s="3" t="str">
        <x:v>BASE NSW PTY LTD</x:v>
      </x:c>
      <x:c r="D13" s="3" t="str">
        <x:v>https://abr.business.gov.au/ABN/View/79130563183</x:v>
      </x:c>
      <x:c r="E13" s="3" t="str">
        <x:v>https://www.agriweld.com.au/services</x:v>
      </x:c>
      <x:c r="F13" s="3" t="str">
        <x:v>Steel fabrication and precision cutting</x:v>
      </x:c>
      <x:c r="G13" s="3" t="str">
        <x:v>https://www.agriweld.com.au/services</x:v>
      </x:c>
      <x:c r="H13" s="3" t="str"/>
      <x:c r="I13" s="3" t="str">
        <x:v>Additional researched business. </x:v>
      </x:c>
      <x:c r="J13" s="12" t="str"/>
      <x:c r="K13" s="37"/>
      <x:c r="L13" s="37"/>
      <x:c r="M13" s="20" t="n">
        <x:v>360</x:v>
      </x:c>
    </x:row>
    <x:row r="14" ht="90" customHeight="1">
      <x:c r="A14" s="3" t="str">
        <x:v>Ajax Foundry</x:v>
      </x:c>
      <x:c r="B14" s="12" t="str">
        <x:v>53000170427</x:v>
      </x:c>
      <x:c r="C14" s="3" t="str">
        <x:v>AJAX FOUNDRY PTY LTD</x:v>
      </x:c>
      <x:c r="D14" s="3" t="str">
        <x:v>https://abr.business.gov.au/ABN/View/53000170427</x:v>
      </x:c>
      <x:c r="E14" s="3" t="str">
        <x:v>https://www.ajaxfoundry.com.au/</x:v>
      </x:c>
      <x:c r="F14" s="3" t="str">
        <x:v>Ferrous iron casting</x:v>
      </x:c>
      <x:c r="G14" s="3" t="str">
        <x:v>https://www.ajaxfoundry.com.au/</x:v>
      </x:c>
      <x:c r="H14" s="3" t="str">
        <x:v>https://www.ajaxfoundry.com.au/</x:v>
      </x:c>
      <x:c r="I14" s="3" t="str">
        <x:v>Iron casting is confirmed. Steel scrap use for the furnace charge needs direct confirmation.</x:v>
      </x:c>
      <x:c r="J14" s="12" t="str"/>
      <x:c r="K14" s="37"/>
      <x:c r="L14" s="37"/>
      <x:c r="M14" s="20" t="n">
        <x:v>360</x:v>
      </x:c>
    </x:row>
    <x:row r="15" ht="90" customHeight="1">
      <x:c r="A15" s="3" t="str">
        <x:v>Alasco Engineering</x:v>
      </x:c>
      <x:c r="B15" s="12" t="str">
        <x:v>47686097873</x:v>
      </x:c>
      <x:c r="C15" s="3" t="str">
        <x:v>The trustee for The Rox Trust No. 1 &amp; The trustee for The Rox Trust no. 2</x:v>
      </x:c>
      <x:c r="D15" s="3" t="str">
        <x:v>https://abr.business.gov.au/ABN/View/47686097873</x:v>
      </x:c>
      <x:c r="E15" s="3" t="str">
        <x:v>https://www.alasco.com.au/</x:v>
      </x:c>
      <x:c r="F15" s="3" t="str">
        <x:v>Steel machining and fabrication</x:v>
      </x:c>
      <x:c r="G15" s="3" t="str">
        <x:v>https://www.alasco.com.au/</x:v>
      </x:c>
      <x:c r="H15" s="3" t="str"/>
      <x:c r="I15" s="3" t="str">
        <x:v>Additional researched business. Postcode not published. ABN entity is a family partnership; business name is Alasco Engineering.</x:v>
      </x:c>
      <x:c r="J15" s="12" t="str"/>
      <x:c r="K15" s="37"/>
      <x:c r="L15" s="37"/>
      <x:c r="M15" s="20" t="n">
        <x:v>1730</x:v>
      </x:c>
    </x:row>
    <x:row r="16" ht="90" customHeight="1">
      <x:c r="A16" s="3" t="str">
        <x:v>Alumac Industries</x:v>
      </x:c>
      <x:c r="B16" s="12" t="str">
        <x:v>11632921692</x:v>
      </x:c>
      <x:c r="C16" s="3" t="str">
        <x:v>ALUMAC INDUSTRIES PTY LTD</x:v>
      </x:c>
      <x:c r="D16" s="3" t="str">
        <x:v>https://abr.business.gov.au/ABN/View?id=11632921692</x:v>
      </x:c>
      <x:c r="E16" s="3" t="str">
        <x:v>https://alumac.com.au/services/laser-cutting/</x:v>
      </x:c>
      <x:c r="F16" s="3" t="str">
        <x:v>Carbon and stainless steel laser cutting</x:v>
      </x:c>
      <x:c r="G16" s="3" t="str">
        <x:v>https://alumac.com.au/services/laser-cutting/</x:v>
      </x:c>
      <x:c r="H16" s="3" t="str"/>
      <x:c r="I16" s="3" t="str">
        <x:v>Additional researched business. </x:v>
      </x:c>
      <x:c r="J16" s="12" t="str"/>
      <x:c r="K16" s="37"/>
      <x:c r="L16" s="37"/>
      <x:c r="M16" s="20" t="n">
        <x:v>1930</x:v>
      </x:c>
    </x:row>
    <x:row r="17" ht="90" customHeight="1">
      <x:c r="A17" s="3" t="str">
        <x:v>Apex Laser</x:v>
      </x:c>
      <x:c r="B17" s="12" t="str">
        <x:v>62625730725</x:v>
      </x:c>
      <x:c r="C17" s="3" t="str">
        <x:v>APEX LASER PTY LTD</x:v>
      </x:c>
      <x:c r="D17" s="3" t="str">
        <x:v>https://abr.business.gov.au/ABN/View?id=62625730725</x:v>
      </x:c>
      <x:c r="E17" s="3" t="str">
        <x:v>https://www.apxlsr.com.au/</x:v>
      </x:c>
      <x:c r="F17" s="3" t="str">
        <x:v>Switchboard sheetmetal laser cutting and fabrication</x:v>
      </x:c>
      <x:c r="G17" s="3" t="str">
        <x:v>https://www.apxlsr.com.au/</x:v>
      </x:c>
      <x:c r="H17" s="3" t="str"/>
      <x:c r="I17" s="3" t="str">
        <x:v>Additional researched business. </x:v>
      </x:c>
      <x:c r="J17" s="12" t="str"/>
      <x:c r="K17" s="37"/>
      <x:c r="L17" s="37"/>
      <x:c r="M17" s="20" t="n">
        <x:v>360</x:v>
      </x:c>
    </x:row>
    <x:row r="18" ht="90" customHeight="1">
      <x:c r="A18" s="3" t="str">
        <x:v>Austral Alloys</x:v>
      </x:c>
      <x:c r="B18" s="12" t="str">
        <x:v>39649764607</x:v>
      </x:c>
      <x:c r="C18" s="3" t="str">
        <x:v>AUSTRAL ALLOYS AUSTRALIA PTY LTD</x:v>
      </x:c>
      <x:c r="D18" s="3" t="str">
        <x:v>https://abr.business.gov.au/ABN/View?id=39649764607</x:v>
      </x:c>
      <x:c r="E18" s="3" t="str">
        <x:v>https://www.australalloys.com.au/</x:v>
      </x:c>
      <x:c r="F18" s="3" t="str">
        <x:v>Stainless steel alloy casting</x:v>
      </x:c>
      <x:c r="G18" s="3" t="str">
        <x:v>https://www.australalloys.com.au/quality-sustainability</x:v>
      </x:c>
      <x:c r="H18" s="3" t="str">
        <x:v>https://www.australalloys.com.au/what-we-pour</x:v>
      </x:c>
      <x:c r="I18" s="3" t="str"/>
      <x:c r="J18" s="12" t="str"/>
      <x:c r="K18" s="37"/>
      <x:c r="L18" s="37"/>
      <x:c r="M18" s="20" t="n">
        <x:v>2430</x:v>
      </x:c>
    </x:row>
    <x:row r="19" ht="90" customHeight="1">
      <x:c r="A19" s="3" t="str">
        <x:v>Austube Mills</x:v>
      </x:c>
      <x:c r="B19" s="12" t="str">
        <x:v>21123666679</x:v>
      </x:c>
      <x:c r="C19" s="3" t="str">
        <x:v>AUSTUBE MILLS PTY LTD</x:v>
      </x:c>
      <x:c r="D19" s="3" t="str">
        <x:v>https://abr.business.gov.au/ABN/View?abn=21123666679</x:v>
      </x:c>
      <x:c r="E19" s="3" t="str">
        <x:v>http://www.npi.gov.au/npidata/action/load/individual-facility-detail/criteria/state/NSW/year/2025/jurisdiction-facility/229</x:v>
      </x:c>
      <x:c r="F19" s="3" t="str">
        <x:v>Forming pipe and tube from steel coil with some galvanizing. Fabricated metal product manufacturing.</x:v>
      </x:c>
      <x:c r="G19" s="3" t="str">
        <x:v>http://www.npi.gov.au/npidata/action/load/individual-facility-detail/criteria/state/NSW/year/2025/jurisdiction-facility/229</x:v>
      </x:c>
      <x:c r="H19" s="3" t="str"/>
      <x:c r="I19" s="3" t="str">
        <x:v>Original NPI record; latest report 2024/2025</x:v>
      </x:c>
      <x:c r="J19" s="12" t="str">
        <x:v>486002</x:v>
      </x:c>
      <x:c r="K19" s="37" t="n">
        <x:v>-32.891619</x:v>
      </x:c>
      <x:c r="L19" s="37" t="n">
        <x:v>151.745559</x:v>
      </x:c>
      <x:c r="M19" s="20" t="n">
        <x:v>410</x:v>
      </x:c>
    </x:row>
    <x:row r="20" ht="90" customHeight="1">
      <x:c r="A20" s="3" t="str">
        <x:v>BEKAERT WIRE ROPES PTY LTD</x:v>
      </x:c>
      <x:c r="B20" s="12" t="str">
        <x:v>22603902601</x:v>
      </x:c>
      <x:c r="C20" s="3" t="str">
        <x:v>BEKAERT WIRE ROPES PTY LTD</x:v>
      </x:c>
      <x:c r="D20" s="3" t="str">
        <x:v>https://abr.business.gov.au/ABN/View?id=22603902601</x:v>
      </x:c>
      <x:c r="E20" s="3" t="str">
        <x:v>http://www.npi.gov.au/npidata/action/load/individual-facility-detail/criteria/state/NSW/year/2025/jurisdiction-facility/753</x:v>
      </x:c>
      <x:c r="F20" s="3" t="str">
        <x:v>Making various sized wire rope from drawn wire. Fabricated metal product manufacturing.</x:v>
      </x:c>
      <x:c r="G20" s="3" t="str">
        <x:v>http://www.npi.gov.au/npidata/action/load/individual-facility-detail/criteria/state/NSW/year/2025/jurisdiction-facility/753</x:v>
      </x:c>
      <x:c r="H20" s="3" t="str"/>
      <x:c r="I20" s="3" t="str">
        <x:v>Original NPI record; latest report 2024/2025</x:v>
      </x:c>
      <x:c r="J20" s="12" t="str">
        <x:v>493606</x:v>
      </x:c>
      <x:c r="K20" s="37" t="n">
        <x:v>-32.890279</x:v>
      </x:c>
      <x:c r="L20" s="37" t="n">
        <x:v>151.752944</x:v>
      </x:c>
      <x:c r="M20" s="20" t="n">
        <x:v>360</x:v>
      </x:c>
    </x:row>
    <x:row r="21" ht="90" customHeight="1">
      <x:c r="A21" s="3" t="str">
        <x:v>BISALLOY STEELS PTY LTD</x:v>
      </x:c>
      <x:c r="B21" s="12" t="str">
        <x:v>27001641292</x:v>
      </x:c>
      <x:c r="C21" s="3" t="str">
        <x:v>BISALLOY STEELS PTY. LTD.</x:v>
      </x:c>
      <x:c r="D21" s="3" t="str">
        <x:v>https://abr.business.gov.au/ABN/View?abn=27001641292</x:v>
      </x:c>
      <x:c r="E21" s="3" t="str">
        <x:v>http://www.npi.gov.au/npidata/action/load/individual-facility-detail/criteria/state/NSW/year/2025/jurisdiction-facility/1543</x:v>
      </x:c>
      <x:c r="F21" s="3" t="str">
        <x:v>Manufacture of quenched and tempered steel plate</x:v>
      </x:c>
      <x:c r="G21" s="3" t="str">
        <x:v>http://www.npi.gov.au/npidata/action/load/individual-facility-detail/criteria/state/NSW/year/2025/jurisdiction-facility/1543</x:v>
      </x:c>
      <x:c r="H21" s="3" t="str"/>
      <x:c r="I21" s="3" t="str">
        <x:v>Original NPI record; latest report 2024/2025</x:v>
      </x:c>
      <x:c r="J21" s="12" t="str">
        <x:v>658890</x:v>
      </x:c>
      <x:c r="K21" s="37" t="n">
        <x:v>-34.4555</x:v>
      </x:c>
      <x:c r="L21" s="37" t="n">
        <x:v>150.854</x:v>
      </x:c>
      <x:c r="M21" s="20" t="n">
        <x:v>300</x:v>
      </x:c>
    </x:row>
    <x:row r="22" ht="90" customHeight="1">
      <x:c r="A22" s="3" t="str">
        <x:v>BJL Welding &amp; Fabrication</x:v>
      </x:c>
      <x:c r="B22" s="12" t="str">
        <x:v>51116666730</x:v>
      </x:c>
      <x:c r="C22" s="3" t="str">
        <x:v>BJL WELDING AND FABRICATION PTY LTD</x:v>
      </x:c>
      <x:c r="D22" s="3" t="str">
        <x:v>https://abr.business.gov.au/ABN/View/51116666730</x:v>
      </x:c>
      <x:c r="E22" s="3" t="str">
        <x:v>https://bjlwelding.com.au/</x:v>
      </x:c>
      <x:c r="F22" s="3" t="str">
        <x:v>Steel fabrication and welding</x:v>
      </x:c>
      <x:c r="G22" s="3" t="str">
        <x:v>https://bjlwelding.com.au/</x:v>
      </x:c>
      <x:c r="H22" s="3" t="str"/>
      <x:c r="I22" s="3" t="str">
        <x:v>Additional researched business. </x:v>
      </x:c>
      <x:c r="J22" s="12" t="str"/>
      <x:c r="K22" s="37"/>
      <x:c r="L22" s="37"/>
      <x:c r="M22" s="20" t="n">
        <x:v>410</x:v>
      </x:c>
    </x:row>
    <x:row r="23" ht="90" customHeight="1">
      <x:c r="A23" s="3" t="str">
        <x:v>BlueScope Port Kembla Steelworks</x:v>
      </x:c>
      <x:c r="B23" s="12" t="str">
        <x:v>19000019625</x:v>
      </x:c>
      <x:c r="C23" s="3" t="str">
        <x:v>BLUESCOPE STEEL (AIS) PTY. LTD.</x:v>
      </x:c>
      <x:c r="D23" s="3" t="str">
        <x:v>https://abr.business.gov.au/ABN/View?id=19000019625</x:v>
      </x:c>
      <x:c r="E23" s="3" t="str">
        <x:v>http://www.npi.gov.au/npidata/action/load/individual-facility-detail/criteria/state/NSW/year/2025/jurisdiction-facility/360</x:v>
      </x:c>
      <x:c r="F23" s="3" t="str">
        <x:v>Primary iron and steel manufacture, coke production</x:v>
      </x:c>
      <x:c r="G23" s="3" t="str">
        <x:v>https://bluescopesteel.com.au/sustainability/circularity/recycled-content</x:v>
      </x:c>
      <x:c r="H23" s="3" t="str"/>
      <x:c r="I23" s="3" t="str">
        <x:v>Original NPI record; latest report 2024/2025</x:v>
      </x:c>
      <x:c r="J23" s="12" t="str">
        <x:v>487830</x:v>
      </x:c>
      <x:c r="K23" s="37" t="n">
        <x:v>-34.463395</x:v>
      </x:c>
      <x:c r="L23" s="37" t="n">
        <x:v>150.887662</x:v>
      </x:c>
      <x:c r="M23" s="20" t="n">
        <x:v>410</x:v>
      </x:c>
    </x:row>
    <x:row r="24" ht="90" customHeight="1">
      <x:c r="A24" s="3" t="str">
        <x:v>BLUESCOPE STEEL LIMITED</x:v>
      </x:c>
      <x:c r="B24" s="12" t="str">
        <x:v>16000011058</x:v>
      </x:c>
      <x:c r="C24" s="3" t="str">
        <x:v>BLUESCOPE STEEL LIMITED</x:v>
      </x:c>
      <x:c r="D24" s="3" t="str">
        <x:v>https://abr.business.gov.au/ABN/View?id=16000011058</x:v>
      </x:c>
      <x:c r="E24" s="3" t="str">
        <x:v>http://www.npi.gov.au/npidata/action/load/individual-facility-detail/criteria/state/NSW/year/2025/jurisdiction-facility/134</x:v>
      </x:c>
      <x:c r="F24" s="3" t="str">
        <x:v>Further process hot rolled coil by pickling to remove scale and reduce thickness by cold rolling. Metal coat (galvanise and zincalume); Strip mild steel. Paint zinculume (colour bond) strip. Pack and dispatch.</x:v>
      </x:c>
      <x:c r="G24" s="3" t="str">
        <x:v>http://www.npi.gov.au/npidata/action/load/individual-facility-detail/criteria/state/NSW/year/2025/jurisdiction-facility/134</x:v>
      </x:c>
      <x:c r="H24" s="3" t="str"/>
      <x:c r="I24" s="3" t="str">
        <x:v>Original NPI record; latest report 2024/2025</x:v>
      </x:c>
      <x:c r="J24" s="12" t="str">
        <x:v>484458</x:v>
      </x:c>
      <x:c r="K24" s="37" t="n">
        <x:v>-34.458451</x:v>
      </x:c>
      <x:c r="L24" s="37" t="n">
        <x:v>150.873417</x:v>
      </x:c>
      <x:c r="M24" s="20" t="n">
        <x:v>410</x:v>
      </x:c>
    </x:row>
    <x:row r="25" ht="90" customHeight="1">
      <x:c r="A25" s="3" t="str">
        <x:v>BM Steel Fabrication</x:v>
      </x:c>
      <x:c r="B25" s="12" t="str">
        <x:v>71631811419</x:v>
      </x:c>
      <x:c r="C25" s="3" t="str">
        <x:v>BM STEEL FABRICATION PTY LTD</x:v>
      </x:c>
      <x:c r="D25" s="3" t="str">
        <x:v>https://abr.business.gov.au/ABN/View?id=71631811419</x:v>
      </x:c>
      <x:c r="E25" s="3" t="str">
        <x:v>https://www.bmsteel.com.au/</x:v>
      </x:c>
      <x:c r="F25" s="3" t="str">
        <x:v>Structural steel fabrication</x:v>
      </x:c>
      <x:c r="G25" s="3" t="str">
        <x:v>https://www.bmsteel.com.au/</x:v>
      </x:c>
      <x:c r="H25" s="3" t="str"/>
      <x:c r="I25" s="3" t="str">
        <x:v>Additional researched business. </x:v>
      </x:c>
      <x:c r="J25" s="12" t="str"/>
      <x:c r="K25" s="37"/>
      <x:c r="L25" s="37"/>
      <x:c r="M25" s="20" t="n">
        <x:v>410</x:v>
      </x:c>
    </x:row>
    <x:row r="26" ht="90" customHeight="1">
      <x:c r="A26" s="3" t="str">
        <x:v>Bright Balustrading</x:v>
      </x:c>
      <x:c r="B26" s="12" t="str">
        <x:v>79137298803</x:v>
      </x:c>
      <x:c r="C26" s="3" t="str">
        <x:v>Bright Balustrading Pty Ltd</x:v>
      </x:c>
      <x:c r="D26" s="3" t="str">
        <x:v>https://abr.business.gov.au/ABN/View/79137298803</x:v>
      </x:c>
      <x:c r="E26" s="3" t="str">
        <x:v>https://brightbal.com.au/contact-us/</x:v>
      </x:c>
      <x:c r="F26" s="3" t="str">
        <x:v>Steel balustrade and handrail fabrication</x:v>
      </x:c>
      <x:c r="G26" s="3" t="str">
        <x:v>https://brightbal.com.au/contact-us/</x:v>
      </x:c>
      <x:c r="H26" s="3" t="str"/>
      <x:c r="I26" s="3" t="str">
        <x:v>Additional researched business. Published contact address is Bankstown; website describes factory in Greenacre. Confirm collection address.</x:v>
      </x:c>
      <x:c r="J26" s="12" t="str"/>
      <x:c r="K26" s="37"/>
      <x:c r="L26" s="37"/>
      <x:c r="M26" s="20" t="n">
        <x:v>300</x:v>
      </x:c>
    </x:row>
    <x:row r="27" ht="90" customHeight="1">
      <x:c r="A27" s="3" t="str">
        <x:v>CALGO Welding &amp; Fabrication</x:v>
      </x:c>
      <x:c r="B27" s="12" t="str">
        <x:v>39485621374</x:v>
      </x:c>
      <x:c r="C27" s="3" t="str"/>
      <x:c r="D27" s="3" t="str">
        <x:v>https://www.calgowelding.com.au/</x:v>
      </x:c>
      <x:c r="E27" s="3" t="str">
        <x:v>https://www.calgowelding.com.au/</x:v>
      </x:c>
      <x:c r="F27" s="3" t="str">
        <x:v>Steel welding and fabrication</x:v>
      </x:c>
      <x:c r="G27" s="3" t="str">
        <x:v>https://www.calgowelding.com.au/</x:v>
      </x:c>
      <x:c r="H27" s="3" t="str"/>
      <x:c r="I27" s="3" t="str">
        <x:v>Additional researched business. </x:v>
      </x:c>
      <x:c r="J27" s="12" t="str"/>
      <x:c r="K27" s="37"/>
      <x:c r="L27" s="37"/>
      <x:c r="M27" s="20" t="n">
        <x:v>410</x:v>
      </x:c>
    </x:row>
    <x:row r="28" ht="90" customHeight="1">
      <x:c r="A28" s="3" t="str">
        <x:v>Camcast</x:v>
      </x:c>
      <x:c r="B28" s="12" t="str">
        <x:v>32100939295</x:v>
      </x:c>
      <x:c r="C28" s="3" t="str">
        <x:v>CAMCAST PTY LTD</x:v>
      </x:c>
      <x:c r="D28" s="3" t="str">
        <x:v>https://abr.business.gov.au/ABN/View?abn=32100939295</x:v>
      </x:c>
      <x:c r="E28" s="3" t="str">
        <x:v>https://camcast.com.au/</x:v>
      </x:c>
      <x:c r="F28" s="3" t="str">
        <x:v>Non-ferrous casting in bronze, brass and aluminium</x:v>
      </x:c>
      <x:c r="G28" s="3" t="str">
        <x:v>https://camcast.com.au/manufacturing-engineering/</x:v>
      </x:c>
      <x:c r="H28" s="3" t="str"/>
      <x:c r="I28" s="3" t="str">
        <x:v>New business verified using its website and ABN Lookup.</x:v>
      </x:c>
      <x:c r="J28" s="12" t="str"/>
      <x:c r="K28" s="37"/>
      <x:c r="L28" s="37"/>
      <x:c r="M28" s="20" t="n">
        <x:v>5880</x:v>
      </x:c>
    </x:row>
    <x:row r="29" ht="90" customHeight="1">
      <x:c r="A29" s="3" t="str">
        <x:v>Capral</x:v>
      </x:c>
      <x:c r="B29" s="12" t="str">
        <x:v>78004213692</x:v>
      </x:c>
      <x:c r="C29" s="3" t="str">
        <x:v>CAPRAL LIMITED</x:v>
      </x:c>
      <x:c r="D29" s="3" t="str">
        <x:v>https://abr.business.gov.au/ABN/View?abn=78004213692</x:v>
      </x:c>
      <x:c r="E29" s="3" t="str">
        <x:v>https://www.capral.com.au/aluminium-extruders-and-suppliers-in-nsw/</x:v>
      </x:c>
      <x:c r="F29" s="3" t="str">
        <x:v>Aluminium extrusion manufacturing</x:v>
      </x:c>
      <x:c r="G29" s="3" t="str">
        <x:v>https://www.capral.com.au/</x:v>
      </x:c>
      <x:c r="H29" s="3" t="str">
        <x:v>http://www.npi.gov.au/npidata/action/load/individual-facility-detail/criteria/state/NSW/year/2025/jurisdiction-facility/1043</x:v>
      </x:c>
      <x:c r="I29" s="3" t="str">
        <x:v>New business verified using its website and ABN Lookup.NSW Penrith manufacturing facility verified in NPI; ABR main business location is QLD.</x:v>
      </x:c>
      <x:c r="J29" s="12" t="str">
        <x:v>483654</x:v>
      </x:c>
      <x:c r="K29" s="37" t="n">
        <x:v>-33.736359</x:v>
      </x:c>
      <x:c r="L29" s="37" t="n">
        <x:v>150.694415</x:v>
      </x:c>
      <x:c r="M29" s="20" t="n">
        <x:v>1730</x:v>
      </x:c>
    </x:row>
    <x:row r="30" ht="90" customHeight="1">
      <x:c r="A30" s="3" t="str">
        <x:v>Clingcast Metals</x:v>
      </x:c>
      <x:c r="B30" s="12" t="str">
        <x:v>13002537537</x:v>
      </x:c>
      <x:c r="C30" s="3" t="str">
        <x:v>CLINGCAST METALS PTY. LIMITED</x:v>
      </x:c>
      <x:c r="D30" s="3" t="str">
        <x:v>https://abr.business.gov.au/ABN/View/13002537537</x:v>
      </x:c>
      <x:c r="E30" s="3" t="str">
        <x:v>https://www.clingcast.com.au/contact/</x:v>
      </x:c>
      <x:c r="F30" s="3" t="str">
        <x:v>Ferrous casting including stainless steel; metal recycling</x:v>
      </x:c>
      <x:c r="G30" s="3" t="str">
        <x:v>https://www.clingcast.com.au/products/iron-foundry/</x:v>
      </x:c>
      <x:c r="H30" s="3" t="str">
        <x:v>https://www.clingcast.com.au/</x:v>
      </x:c>
      <x:c r="I30" s="3" t="str"/>
      <x:c r="J30" s="12" t="str"/>
      <x:c r="K30" s="37"/>
      <x:c r="L30" s="37"/>
      <x:c r="M30" s="20" t="n">
        <x:v>5770</x:v>
      </x:c>
    </x:row>
    <x:row r="31" ht="90" customHeight="1">
      <x:c r="A31" s="3" t="str">
        <x:v>DEMATIC PTY LTD</x:v>
      </x:c>
      <x:c r="B31" s="12" t="str">
        <x:v>43118204425</x:v>
      </x:c>
      <x:c r="C31" s="3" t="str">
        <x:v>Dematic Pty Ltd</x:v>
      </x:c>
      <x:c r="D31" s="3" t="str">
        <x:v>https://abr.business.gov.au/ABN/View?id=43118204425</x:v>
      </x:c>
      <x:c r="E31" s="3" t="str">
        <x:v>http://www.npi.gov.au/npidata/action/load/individual-facility-detail/criteria/state/NSW/year/2025/jurisdiction-facility/1334</x:v>
      </x:c>
      <x:c r="F31" s="3" t="str">
        <x:v>Manufacture of storage racking</x:v>
      </x:c>
      <x:c r="G31" s="3" t="str">
        <x:v>http://www.npi.gov.au/npidata/action/load/individual-facility-detail/criteria/state/NSW/year/2025/jurisdiction-facility/1334</x:v>
      </x:c>
      <x:c r="H31" s="3" t="str"/>
      <x:c r="I31" s="3" t="str">
        <x:v>Original NPI record; latest report 2024/2025</x:v>
      </x:c>
      <x:c r="J31" s="12" t="str">
        <x:v>587218</x:v>
      </x:c>
      <x:c r="K31" s="37" t="n">
        <x:v>-33.706759</x:v>
      </x:c>
      <x:c r="L31" s="37" t="n">
        <x:v>151.213583</x:v>
      </x:c>
      <x:c r="M31" s="20" t="n">
        <x:v>300</x:v>
      </x:c>
    </x:row>
    <x:row r="32" ht="90" customHeight="1">
      <x:c r="A32" s="3" t="str">
        <x:v>DND Welding</x:v>
      </x:c>
      <x:c r="B32" s="12" t="str">
        <x:v>97130427173</x:v>
      </x:c>
      <x:c r="C32" s="3" t="str">
        <x:v>DND WELDING PTY LTD</x:v>
      </x:c>
      <x:c r="D32" s="3" t="str">
        <x:v>https://abr.business.gov.au/ABN/View?id=97130427173</x:v>
      </x:c>
      <x:c r="E32" s="3" t="str">
        <x:v>https://www.dndwelding.com.au/about</x:v>
      </x:c>
      <x:c r="F32" s="3" t="str">
        <x:v>Steel fabrication of trailers, sheds and truck bodies</x:v>
      </x:c>
      <x:c r="G32" s="3" t="str">
        <x:v>https://www.dndwelding.com.au/about</x:v>
      </x:c>
      <x:c r="H32" s="3" t="str"/>
      <x:c r="I32" s="3" t="str">
        <x:v>Additional researched business. </x:v>
      </x:c>
      <x:c r="J32" s="12" t="str"/>
      <x:c r="K32" s="37"/>
      <x:c r="L32" s="37"/>
      <x:c r="M32" s="20" t="n">
        <x:v>300</x:v>
      </x:c>
    </x:row>
    <x:row r="33" ht="90" customHeight="1">
      <x:c r="A33" s="3" t="str">
        <x:v>Dux Hot Water</x:v>
      </x:c>
      <x:c r="B33" s="12" t="str">
        <x:v>19077879844</x:v>
      </x:c>
      <x:c r="C33" s="3" t="str">
        <x:v>DUX MANUFACTURING LIMITED</x:v>
      </x:c>
      <x:c r="D33" s="3" t="str">
        <x:v>https://abr.business.gov.au/ABN/View?id=19077879844</x:v>
      </x:c>
      <x:c r="E33" s="3" t="str">
        <x:v>http://www.npi.gov.au/npidata/action/load/individual-facility-detail/criteria/state/NSW/year/2025/jurisdiction-facility/1005</x:v>
      </x:c>
      <x:c r="F33" s="3" t="str">
        <x:v>Manufacture of gas, electric, Heat Pump and solar hot water heaters</x:v>
      </x:c>
      <x:c r="G33" s="3" t="str">
        <x:v>https://www.dux.com.au/wp-content/uploads/2025/09/Dux-RangeBrochure_JAN26.pdf</x:v>
      </x:c>
      <x:c r="H33" s="3" t="str"/>
      <x:c r="I33" s="3" t="str">
        <x:v>Original NPI record; latest report 2024/2025</x:v>
      </x:c>
      <x:c r="J33" s="12" t="str">
        <x:v>483346</x:v>
      </x:c>
      <x:c r="K33" s="37" t="n">
        <x:v>-34.526008</x:v>
      </x:c>
      <x:c r="L33" s="37" t="n">
        <x:v>150.376552</x:v>
      </x:c>
      <x:c r="M33" s="20" t="n">
        <x:v>300</x:v>
      </x:c>
    </x:row>
    <x:row r="34" ht="90" customHeight="1">
      <x:c r="A34" s="3" t="str">
        <x:v>ENCAT Australia</x:v>
      </x:c>
      <x:c r="B34" s="12" t="str">
        <x:v>76050541207</x:v>
      </x:c>
      <x:c r="C34" s="3" t="str">
        <x:v>ENCAT PTY. LIMITED</x:v>
      </x:c>
      <x:c r="D34" s="3" t="str">
        <x:v>https://abr.business.gov.au/ABN/View/76050541207</x:v>
      </x:c>
      <x:c r="E34" s="3" t="str">
        <x:v>https://www.encat.com.au/contact-us/</x:v>
      </x:c>
      <x:c r="F34" s="3" t="str">
        <x:v>Metal fabrication for fencing and civil products</x:v>
      </x:c>
      <x:c r="G34" s="3" t="str">
        <x:v>https://www.encat.com.au/</x:v>
      </x:c>
      <x:c r="H34" s="3" t="str"/>
      <x:c r="I34" s="3" t="str">
        <x:v>Additional researched business. </x:v>
      </x:c>
      <x:c r="J34" s="12" t="str"/>
      <x:c r="K34" s="37"/>
      <x:c r="L34" s="37"/>
      <x:c r="M34" s="20" t="n">
        <x:v>360</x:v>
      </x:c>
    </x:row>
    <x:row r="35" ht="90" customHeight="1">
      <x:c r="A35" s="3" t="str">
        <x:v>Enfrex Metalworks</x:v>
      </x:c>
      <x:c r="B35" s="12" t="str">
        <x:v>90601374118</x:v>
      </x:c>
      <x:c r="C35" s="3" t="str">
        <x:v>ENFREX METALWORKS PTY LIMITED</x:v>
      </x:c>
      <x:c r="D35" s="3" t="str">
        <x:v>https://abr.business.gov.au/ABN/View/90601374118</x:v>
      </x:c>
      <x:c r="E35" s="3" t="str">
        <x:v>https://enfrex.com.au/contact-us/</x:v>
      </x:c>
      <x:c r="F35" s="3" t="str">
        <x:v>Mild and stainless steel fabrication</x:v>
      </x:c>
      <x:c r="G35" s="3" t="str">
        <x:v>https://enfrex.com.au/</x:v>
      </x:c>
      <x:c r="H35" s="3" t="str"/>
      <x:c r="I35" s="3" t="str">
        <x:v>Additional researched business. </x:v>
      </x:c>
      <x:c r="J35" s="12" t="str"/>
      <x:c r="K35" s="37"/>
      <x:c r="L35" s="37"/>
      <x:c r="M35" s="20" t="n">
        <x:v>1320</x:v>
      </x:c>
    </x:row>
    <x:row r="36" ht="90" customHeight="1">
      <x:c r="A36" s="3" t="str">
        <x:v>Engineering Fabricators Newcastle</x:v>
      </x:c>
      <x:c r="B36" s="12" t="str">
        <x:v>36151145916</x:v>
      </x:c>
      <x:c r="C36" s="3" t="str">
        <x:v>ENGINEERING FABRICATORS NEWCASTLE PTY LTD</x:v>
      </x:c>
      <x:c r="D36" s="3" t="str">
        <x:v>https://abr.business.gov.au/ABN/View/36151145916</x:v>
      </x:c>
      <x:c r="E36" s="3" t="str">
        <x:v>https://www.efnewcastle.com.au/</x:v>
      </x:c>
      <x:c r="F36" s="3" t="str">
        <x:v>Structural steel fabrication</x:v>
      </x:c>
      <x:c r="G36" s="3" t="str">
        <x:v>https://www.efnewcastle.com.au/</x:v>
      </x:c>
      <x:c r="H36" s="3" t="str"/>
      <x:c r="I36" s="3" t="str">
        <x:v>Additional researched business. Published contact address; confirm production or collection workshop.</x:v>
      </x:c>
      <x:c r="J36" s="12" t="str"/>
      <x:c r="K36" s="37"/>
      <x:c r="L36" s="37"/>
      <x:c r="M36" s="20" t="n">
        <x:v>300</x:v>
      </x:c>
    </x:row>
    <x:row r="37" ht="90" customHeight="1">
      <x:c r="A37" s="3" t="str">
        <x:v>Fabcon Project Group</x:v>
      </x:c>
      <x:c r="B37" s="12" t="str">
        <x:v>57620389184</x:v>
      </x:c>
      <x:c r="C37" s="3" t="str">
        <x:v>FABCON PROJECT GROUP PTY LTD</x:v>
      </x:c>
      <x:c r="D37" s="3" t="str">
        <x:v>https://abr.business.gov.au/ABN/View/57620389184</x:v>
      </x:c>
      <x:c r="E37" s="3" t="str">
        <x:v>https://www.fabconprojectgroup.com.au/contact</x:v>
      </x:c>
      <x:c r="F37" s="3" t="str">
        <x:v>Steel and stainless steel fabrication and laser cutting</x:v>
      </x:c>
      <x:c r="G37" s="3" t="str">
        <x:v>https://www.fabconprojectgroup.com.au/contact</x:v>
      </x:c>
      <x:c r="H37" s="3" t="str"/>
      <x:c r="I37" s="3" t="str">
        <x:v>Additional researched business. </x:v>
      </x:c>
      <x:c r="J37" s="12" t="str"/>
      <x:c r="K37" s="37"/>
      <x:c r="L37" s="37"/>
      <x:c r="M37" s="20" t="n">
        <x:v>1930</x:v>
      </x:c>
    </x:row>
    <x:row r="38" ht="90" customHeight="1">
      <x:c r="A38" s="3" t="str">
        <x:v>FBM Fabrication</x:v>
      </x:c>
      <x:c r="B38" s="12" t="str">
        <x:v>97528341439</x:v>
      </x:c>
      <x:c r="C38" s="3" t="str"/>
      <x:c r="D38" s="3" t="str">
        <x:v>https://www.fbmfabrication.com.au/heavy-fabrication</x:v>
      </x:c>
      <x:c r="E38" s="3" t="str">
        <x:v>https://www.fbmfabrication.com.au/heavy-fabrication</x:v>
      </x:c>
      <x:c r="F38" s="3" t="str">
        <x:v>Structural steel fabrication</x:v>
      </x:c>
      <x:c r="G38" s="3" t="str">
        <x:v>https://www.fbmfabrication.com.au/heavy-fabrication</x:v>
      </x:c>
      <x:c r="H38" s="3" t="str"/>
      <x:c r="I38" s="3" t="str">
        <x:v>Additional researched business. </x:v>
      </x:c>
      <x:c r="J38" s="12" t="str"/>
      <x:c r="K38" s="37"/>
      <x:c r="L38" s="37"/>
      <x:c r="M38" s="20" t="n">
        <x:v>410</x:v>
      </x:c>
    </x:row>
    <x:row r="39" ht="90" customHeight="1">
      <x:c r="A39" s="3" t="str">
        <x:v>Gordon Fabrication</x:v>
      </x:c>
      <x:c r="B39" s="12" t="str">
        <x:v>88160790447</x:v>
      </x:c>
      <x:c r="C39" s="3" t="str">
        <x:v>GORDON FABRICATION PTY LTD</x:v>
      </x:c>
      <x:c r="D39" s="3" t="str">
        <x:v>https://abr.business.gov.au/ABN/View?abn=88160790447</x:v>
      </x:c>
      <x:c r="E39" s="3" t="str">
        <x:v>https://gordonfab.com.au/contact/</x:v>
      </x:c>
      <x:c r="F39" s="3" t="str">
        <x:v>Steel and metal fabrication</x:v>
      </x:c>
      <x:c r="G39" s="3" t="str">
        <x:v>https://gordonfab.com.au/contact/</x:v>
      </x:c>
      <x:c r="H39" s="3" t="str"/>
      <x:c r="I39" s="3" t="str">
        <x:v>Additional researched business. Contact page gives Unit 5, 9-11 Ethell Road; footer also gives 6 Ethell Road. Confirm collection address.</x:v>
      </x:c>
      <x:c r="J39" s="12" t="str"/>
      <x:c r="K39" s="37"/>
      <x:c r="L39" s="37"/>
      <x:c r="M39" s="20" t="n">
        <x:v>410</x:v>
      </x:c>
    </x:row>
    <x:row r="40" ht="90" customHeight="1">
      <x:c r="A40" s="3" t="str">
        <x:v>Hard Bakka</x:v>
      </x:c>
      <x:c r="B40" s="12" t="str">
        <x:v>89622412622</x:v>
      </x:c>
      <x:c r="C40" s="3" t="str">
        <x:v>HARD BAKKA RIGGING PTY LTD</x:v>
      </x:c>
      <x:c r="D40" s="3" t="str">
        <x:v>https://abr.business.gov.au/ABN/View/89622412622</x:v>
      </x:c>
      <x:c r="E40" s="3" t="str">
        <x:v>https://www.hardbakka.com.au/contact-us</x:v>
      </x:c>
      <x:c r="F40" s="3" t="str">
        <x:v>Structural steel fabrication and beam processing</x:v>
      </x:c>
      <x:c r="G40" s="3" t="str">
        <x:v>https://www.hardbakka.com.au/contact-us</x:v>
      </x:c>
      <x:c r="H40" s="3" t="str"/>
      <x:c r="I40" s="3" t="str">
        <x:v>Additional researched business. </x:v>
      </x:c>
      <x:c r="J40" s="12" t="str"/>
      <x:c r="K40" s="37"/>
      <x:c r="L40" s="37"/>
      <x:c r="M40" s="20" t="n">
        <x:v>360</x:v>
      </x:c>
    </x:row>
    <x:row r="41" ht="90" customHeight="1">
      <x:c r="A41" s="3" t="str">
        <x:v>Hycast Metals</x:v>
      </x:c>
      <x:c r="B41" s="12" t="str">
        <x:v>91000335017</x:v>
      </x:c>
      <x:c r="C41" s="3" t="str">
        <x:v>HYCAST METALS PTY LTD</x:v>
      </x:c>
      <x:c r="D41" s="3" t="str">
        <x:v>https://abr.business.gov.au/ABN/View/91000335017</x:v>
      </x:c>
      <x:c r="E41" s="3" t="str">
        <x:v>https://www.hycast.com.au/contact-us/</x:v>
      </x:c>
      <x:c r="F41" s="3" t="str">
        <x:v>Carbon, alloy and stainless steel investment casting</x:v>
      </x:c>
      <x:c r="G41" s="3" t="str">
        <x:v>https://www.hycast.com.au/about-us/sustainability/</x:v>
      </x:c>
      <x:c r="H41" s="3" t="str">
        <x:v>https://www.hycast.com.au/</x:v>
      </x:c>
      <x:c r="I41" s="3" t="str"/>
      <x:c r="J41" s="12" t="str"/>
      <x:c r="K41" s="37"/>
      <x:c r="L41" s="37"/>
      <x:c r="M41" s="20" t="n">
        <x:v>2430</x:v>
      </x:c>
    </x:row>
    <x:row r="42" ht="90" customHeight="1">
      <x:c r="A42" s="3" t="str">
        <x:v>INFRABUILD (NEWCASTLE) PTY LTD</x:v>
      </x:c>
      <x:c r="B42" s="12" t="str">
        <x:v>50623285718</x:v>
      </x:c>
      <x:c r="C42" s="3" t="str">
        <x:v>INFRABUILD (NEWCASTLE) PTY LTD</x:v>
      </x:c>
      <x:c r="D42" s="3" t="str">
        <x:v>https://abr.business.gov.au/ABN/View?abn=50623285718</x:v>
      </x:c>
      <x:c r="E42" s="3" t="str">
        <x:v>http://www.npi.gov.au/npidata/action/load/individual-facility-detail/criteria/state/NSW/year/2025/jurisdiction-facility/457</x:v>
      </x:c>
      <x:c r="F42" s="3" t="str">
        <x:v>Other Structural Metal Product Manufacturing</x:v>
      </x:c>
      <x:c r="G42" s="3" t="str">
        <x:v>https://www.infrabuild.com/our-stories/tale-of-the-mills-in-conversation-with-hercules-and-stephen/</x:v>
      </x:c>
      <x:c r="H42" s="3" t="str"/>
      <x:c r="I42" s="3" t="str">
        <x:v>Original NPI record; latest report 2024/2025</x:v>
      </x:c>
      <x:c r="J42" s="12" t="str">
        <x:v>489368</x:v>
      </x:c>
      <x:c r="K42" s="37" t="n">
        <x:v>-32.88472</x:v>
      </x:c>
      <x:c r="L42" s="37" t="n">
        <x:v>151.74861</x:v>
      </x:c>
      <x:c r="M42" s="20" t="n">
        <x:v>300</x:v>
      </x:c>
    </x:row>
    <x:row r="43" ht="90" customHeight="1">
      <x:c r="A43" s="3" t="str">
        <x:v>InfraBuild Reinforcing</x:v>
      </x:c>
      <x:c r="B43" s="12" t="str">
        <x:v>22004148289</x:v>
      </x:c>
      <x:c r="C43" s="3" t="str">
        <x:v>INFRABUILD CONSTRUCTION SOLUTIONS PTY LTD</x:v>
      </x:c>
      <x:c r="D43" s="3" t="str">
        <x:v>https://abr.business.gov.au/ABN/View?id=22004148289</x:v>
      </x:c>
      <x:c r="E43" s="3" t="str">
        <x:v>http://www.npi.gov.au/npidata/action/load/individual-facility-detail/criteria/state/NSW/year/2025/jurisdiction-facility/752</x:v>
      </x:c>
      <x:c r="F43" s="3" t="str">
        <x:v>Steel product manufacturing.</x:v>
      </x:c>
      <x:c r="G43" s="3" t="str">
        <x:v>http://www.npi.gov.au/npidata/action/load/individual-facility-detail/criteria/state/NSW/year/2025/jurisdiction-facility/752</x:v>
      </x:c>
      <x:c r="H43" s="3" t="str">
        <x:v>https://www.infrabuild.com/branch/infrabuild-reinforcing-st-marys/</x:v>
      </x:c>
      <x:c r="I43" s="3" t="str">
        <x:v>Original NPI record; latest report 2024/2025; additional NSW site: INFRABUILD REINFORCING - ST MARYS at 10-38 Forrester Rd, St Marys</x:v>
      </x:c>
      <x:c r="J43" s="12" t="str">
        <x:v>493594; 707946</x:v>
      </x:c>
      <x:c r="K43" s="37" t="n">
        <x:v>-33.935796</x:v>
      </x:c>
      <x:c r="L43" s="37" t="n">
        <x:v>151.014748</x:v>
      </x:c>
      <x:c r="M43" s="20" t="n">
        <x:v>360</x:v>
      </x:c>
    </x:row>
    <x:row r="44" ht="90" customHeight="1">
      <x:c r="A44" s="3" t="str">
        <x:v>InfraBuild Sydney Steel Mill</x:v>
      </x:c>
      <x:c r="B44" s="12" t="str">
        <x:v>59003312892</x:v>
      </x:c>
      <x:c r="C44" s="3" t="str">
        <x:v>INFRABUILD NSW PTY LTD</x:v>
      </x:c>
      <x:c r="D44" s="3" t="str">
        <x:v>https://abr.business.gov.au/ABN/View?abn=59003312892</x:v>
      </x:c>
      <x:c r="E44" s="3" t="str">
        <x:v>http://www.npi.gov.au/npidata/action/load/individual-facility-detail/criteria/state/NSW/year/2025/jurisdiction-facility/455</x:v>
      </x:c>
      <x:c r="F44" s="3" t="str">
        <x:v>Making steel using an electric arc furnace and continuous caster. Manufacturer of structural steel.</x:v>
      </x:c>
      <x:c r="G44" s="3" t="str">
        <x:v>https://www.infrabuild.com/sustainability/our-approach/</x:v>
      </x:c>
      <x:c r="H44" s="3" t="str"/>
      <x:c r="I44" s="3" t="str">
        <x:v>Original NPI record; latest report 2024/2025</x:v>
      </x:c>
      <x:c r="J44" s="12" t="str">
        <x:v>489350</x:v>
      </x:c>
      <x:c r="K44" s="37" t="n">
        <x:v>-33.76396</x:v>
      </x:c>
      <x:c r="L44" s="37" t="n">
        <x:v>150.849675</x:v>
      </x:c>
      <x:c r="M44" s="20" t="n">
        <x:v>300</x:v>
      </x:c>
    </x:row>
    <x:row r="45" ht="90" customHeight="1">
      <x:c r="A45" s="3" t="str">
        <x:v>INFRABUILD WIRE PTY LTD</x:v>
      </x:c>
      <x:c r="B45" s="12" t="str">
        <x:v>59000010873</x:v>
      </x:c>
      <x:c r="C45" s="3" t="str">
        <x:v>INFRABUILD WIRE PTY LIMITED</x:v>
      </x:c>
      <x:c r="D45" s="3" t="str">
        <x:v>https://abr.business.gov.au/ABN/View?id=59000010873</x:v>
      </x:c>
      <x:c r="E45" s="3" t="str">
        <x:v>http://www.npi.gov.au/npidata/action/load/individual-facility-detail/criteria/state/NSW/year/2025/jurisdiction-facility/459</x:v>
      </x:c>
      <x:c r="F45" s="3" t="str">
        <x:v>Spring manufacturing</x:v>
      </x:c>
      <x:c r="G45" s="3" t="str">
        <x:v>http://www.npi.gov.au/npidata/action/load/individual-facility-detail/criteria/state/NSW/year/2025/jurisdiction-facility/459</x:v>
      </x:c>
      <x:c r="H45" s="3" t="str"/>
      <x:c r="I45" s="3" t="str">
        <x:v>Original NPI record; latest report 2024/2025</x:v>
      </x:c>
      <x:c r="J45" s="12" t="str">
        <x:v>489390</x:v>
      </x:c>
      <x:c r="K45" s="37" t="n">
        <x:v>-32.888479</x:v>
      </x:c>
      <x:c r="L45" s="37" t="n">
        <x:v>151.747923</x:v>
      </x:c>
      <x:c r="M45" s="20" t="n">
        <x:v>300</x:v>
      </x:c>
    </x:row>
    <x:row r="46" ht="90" customHeight="1">
      <x:c r="A46" s="3" t="str">
        <x:v>ISG Sheetmetal and Laser</x:v>
      </x:c>
      <x:c r="B46" s="12" t="str">
        <x:v>37060444108</x:v>
      </x:c>
      <x:c r="C46" s="3" t="str">
        <x:v>INDUSTRIAL SWITCHGEAR INTERNATIONAL PTY. LIMITED</x:v>
      </x:c>
      <x:c r="D46" s="3" t="str">
        <x:v>https://abr.business.gov.au/ABN/View?id=37060444108</x:v>
      </x:c>
      <x:c r="E46" s="3" t="str">
        <x:v>https://www.isglaser.com.au/</x:v>
      </x:c>
      <x:c r="F46" s="3" t="str">
        <x:v>Sheetmetal and stainless steel cutting and fabrication</x:v>
      </x:c>
      <x:c r="G46" s="3" t="str">
        <x:v>https://www.isglaser.com.au/</x:v>
      </x:c>
      <x:c r="H46" s="3" t="str"/>
      <x:c r="I46" s="3" t="str">
        <x:v>Additional researched business. </x:v>
      </x:c>
      <x:c r="J46" s="12" t="str"/>
      <x:c r="K46" s="37"/>
      <x:c r="L46" s="37"/>
      <x:c r="M46" s="20" t="n">
        <x:v>2050</x:v>
      </x:c>
    </x:row>
    <x:row r="47" ht="90" customHeight="1">
      <x:c r="A47" s="3" t="str">
        <x:v>JMG Maintenance &amp; Fabrication</x:v>
      </x:c>
      <x:c r="B47" s="12" t="str">
        <x:v>63117256005</x:v>
      </x:c>
      <x:c r="C47" s="3" t="str">
        <x:v>JMG MAINTENANCE AND FABRICATION PTY LTD</x:v>
      </x:c>
      <x:c r="D47" s="3" t="str">
        <x:v>https://abr.business.gov.au/ABN/View/63117256005</x:v>
      </x:c>
      <x:c r="E47" s="3" t="str">
        <x:v>https://www.jmgmaintenance.com.au/locations</x:v>
      </x:c>
      <x:c r="F47" s="3" t="str">
        <x:v>Steel fabrication and machining</x:v>
      </x:c>
      <x:c r="G47" s="3" t="str">
        <x:v>https://www.jmgmaintenance.com.au/locations</x:v>
      </x:c>
      <x:c r="H47" s="3" t="str"/>
      <x:c r="I47" s="3" t="str">
        <x:v>Additional researched business. </x:v>
      </x:c>
      <x:c r="J47" s="12" t="str"/>
      <x:c r="K47" s="37"/>
      <x:c r="L47" s="37"/>
      <x:c r="M47" s="20" t="n">
        <x:v>360</x:v>
      </x:c>
    </x:row>
    <x:row r="48" ht="90" customHeight="1">
      <x:c r="A48" s="3" t="str">
        <x:v>KINGSPAN INSULATED PANELS PTY LIMITED</x:v>
      </x:c>
      <x:c r="B48" s="12" t="str">
        <x:v>11106797148</x:v>
      </x:c>
      <x:c r="C48" s="3" t="str">
        <x:v>KINGSPAN INSULATED PANELS PTY LIMITED</x:v>
      </x:c>
      <x:c r="D48" s="3" t="str">
        <x:v>https://abr.business.gov.au/ABN/View?id=11106797148</x:v>
      </x:c>
      <x:c r="E48" s="3" t="str">
        <x:v>http://www.npi.gov.au/npidata/action/load/individual-facility-detail/criteria/state/NSW/year/2025/jurisdiction-facility/1692</x:v>
      </x:c>
      <x:c r="F48" s="3" t="str">
        <x:v>Manufacturing Insulated Panels</x:v>
      </x:c>
      <x:c r="G48" s="3" t="str">
        <x:v>https://www.panels.kingspan.com/en-au/products/wall-panels/k-roc-awp-ultima-plus-wall-panel</x:v>
      </x:c>
      <x:c r="H48" s="3" t="str"/>
      <x:c r="I48" s="3" t="str">
        <x:v>Original NPI record; latest report 2024/2025</x:v>
      </x:c>
      <x:c r="J48" s="12" t="str">
        <x:v>704776</x:v>
      </x:c>
      <x:c r="K48" s="37" t="n">
        <x:v>-33.74149</x:v>
      </x:c>
      <x:c r="L48" s="37" t="n">
        <x:v>150.76847</x:v>
      </x:c>
      <x:c r="M48" s="20" t="n">
        <x:v>410</x:v>
      </x:c>
    </x:row>
    <x:row r="49" ht="90" customHeight="1">
      <x:c r="A49" s="3" t="str">
        <x:v>Kymar Steel Fabrications</x:v>
      </x:c>
      <x:c r="B49" s="12" t="str">
        <x:v>86097427837</x:v>
      </x:c>
      <x:c r="C49" s="3" t="str">
        <x:v>KYMAR (NSW) PTY LIMITED</x:v>
      </x:c>
      <x:c r="D49" s="3" t="str">
        <x:v>https://abr.business.gov.au/ABN/View?id=86097427837</x:v>
      </x:c>
      <x:c r="E49" s="3" t="str">
        <x:v>https://www.kymarnsw.com.au/</x:v>
      </x:c>
      <x:c r="F49" s="3" t="str">
        <x:v>Structural steel fabrication and machining</x:v>
      </x:c>
      <x:c r="G49" s="3" t="str">
        <x:v>https://www.kymarnsw.com.au/</x:v>
      </x:c>
      <x:c r="H49" s="3" t="str"/>
      <x:c r="I49" s="3" t="str">
        <x:v>Additional researched business. </x:v>
      </x:c>
      <x:c r="J49" s="12" t="str"/>
      <x:c r="K49" s="37"/>
      <x:c r="L49" s="37"/>
      <x:c r="M49" s="20" t="n">
        <x:v>2430</x:v>
      </x:c>
    </x:row>
    <x:row r="50" ht="90" customHeight="1">
      <x:c r="A50" s="3" t="str">
        <x:v>Laser Wizard</x:v>
      </x:c>
      <x:c r="B50" s="12" t="str">
        <x:v>90086151322</x:v>
      </x:c>
      <x:c r="C50" s="3" t="str">
        <x:v>LASER WIZARD PTY LTD</x:v>
      </x:c>
      <x:c r="D50" s="3" t="str">
        <x:v>https://abr.business.gov.au/ABN/View?abn=90086151322</x:v>
      </x:c>
      <x:c r="E50" s="3" t="str">
        <x:v>https://www.laserwizard.com.au/services/mild-steel-laser-cutting/</x:v>
      </x:c>
      <x:c r="F50" s="3" t="str">
        <x:v>Mild steel laser cutting and metal fabrication</x:v>
      </x:c>
      <x:c r="G50" s="3" t="str">
        <x:v>https://www.laserwizard.com.au/services/mild-steel-laser-cutting/</x:v>
      </x:c>
      <x:c r="H50" s="3" t="str"/>
      <x:c r="I50" s="3" t="str">
        <x:v>Additional researched business. </x:v>
      </x:c>
      <x:c r="J50" s="12" t="str"/>
      <x:c r="K50" s="37"/>
      <x:c r="L50" s="37"/>
      <x:c r="M50" s="20" t="n">
        <x:v>360</x:v>
      </x:c>
    </x:row>
    <x:row r="51" ht="90" customHeight="1">
      <x:c r="A51" s="3" t="str">
        <x:v>Letchford Engineering</x:v>
      </x:c>
      <x:c r="B51" s="12" t="str">
        <x:v>49108601092</x:v>
      </x:c>
      <x:c r="C51" s="3" t="str">
        <x:v>LETCHFORD ENGINEERING PTY LTD</x:v>
      </x:c>
      <x:c r="D51" s="3" t="str">
        <x:v>https://abr.business.gov.au/ABN/View/49108601092</x:v>
      </x:c>
      <x:c r="E51" s="3" t="str">
        <x:v>https://www.letchfordengineering.com.au/laser-cutting</x:v>
      </x:c>
      <x:c r="F51" s="3" t="str">
        <x:v>Mild, spring and stainless steel laser cutting</x:v>
      </x:c>
      <x:c r="G51" s="3" t="str">
        <x:v>https://www.letchfordengineering.com.au/laser-cutting</x:v>
      </x:c>
      <x:c r="H51" s="3" t="str"/>
      <x:c r="I51" s="3" t="str">
        <x:v>Additional researched business. </x:v>
      </x:c>
      <x:c r="J51" s="12" t="str"/>
      <x:c r="K51" s="37"/>
      <x:c r="L51" s="37"/>
      <x:c r="M51" s="20" t="n">
        <x:v>1930</x:v>
      </x:c>
    </x:row>
    <x:row r="52" ht="90" customHeight="1">
      <x:c r="A52" s="3" t="str">
        <x:v>Lotus Steel</x:v>
      </x:c>
      <x:c r="B52" s="12" t="str">
        <x:v>52620187466</x:v>
      </x:c>
      <x:c r="C52" s="3" t="str">
        <x:v>LOTUS STEEL FABRICATION &amp; ENGINEERING PTY LTD</x:v>
      </x:c>
      <x:c r="D52" s="3" t="str">
        <x:v>https://abr.business.gov.au/ABN/View/52620187466</x:v>
      </x:c>
      <x:c r="E52" s="3" t="str">
        <x:v>https://www.lotussteel.com.au/</x:v>
      </x:c>
      <x:c r="F52" s="3" t="str">
        <x:v>Steel fabrication, laser cutting and machining</x:v>
      </x:c>
      <x:c r="G52" s="3" t="str">
        <x:v>https://www.lotussteel.com.au/</x:v>
      </x:c>
      <x:c r="H52" s="3" t="str"/>
      <x:c r="I52" s="3" t="str">
        <x:v>Additional researched business. </x:v>
      </x:c>
      <x:c r="J52" s="12" t="str"/>
      <x:c r="K52" s="37"/>
      <x:c r="L52" s="37"/>
      <x:c r="M52" s="20" t="n">
        <x:v>1930</x:v>
      </x:c>
    </x:row>
    <x:row r="53" ht="90" customHeight="1">
      <x:c r="A53" s="3" t="str">
        <x:v>NCI HOLDINGS PTY LTD</x:v>
      </x:c>
      <x:c r="B53" s="12" t="str">
        <x:v>68004328241</x:v>
      </x:c>
      <x:c r="C53" s="3" t="str">
        <x:v>NCI HOLDINGS PTY LTD</x:v>
      </x:c>
      <x:c r="D53" s="3" t="str">
        <x:v>https://abr.business.gov.au/ABN/View?abn=68004328241</x:v>
      </x:c>
      <x:c r="E53" s="3" t="str">
        <x:v>http://www.npi.gov.au/npidata/action/load/individual-facility-detail/criteria/state/NSW/year/2025/jurisdiction-facility/1335</x:v>
      </x:c>
      <x:c r="F53" s="3" t="str">
        <x:v>Cutting coils of tinplate to sheets, coating and decorating sheets of tinplate and aluminium for use in the can making industry</x:v>
      </x:c>
      <x:c r="G53" s="3" t="str">
        <x:v>http://www.npi.gov.au/npidata/action/load/individual-facility-detail/criteria/state/NSW/year/2025/jurisdiction-facility/1335</x:v>
      </x:c>
      <x:c r="H53" s="3" t="str"/>
      <x:c r="I53" s="3" t="str">
        <x:v>Original NPI record; latest report 2024/2025</x:v>
      </x:c>
      <x:c r="J53" s="12" t="str">
        <x:v>587234</x:v>
      </x:c>
      <x:c r="K53" s="37" t="n">
        <x:v>-33.753951</x:v>
      </x:c>
      <x:c r="L53" s="37" t="n">
        <x:v>150.850448</x:v>
      </x:c>
      <x:c r="M53" s="20" t="n">
        <x:v>1320</x:v>
      </x:c>
    </x:row>
    <x:row r="54" ht="90" customHeight="1">
      <x:c r="A54" s="3" t="str">
        <x:v>NewyFab</x:v>
      </x:c>
      <x:c r="B54" s="12" t="str">
        <x:v>75634516475</x:v>
      </x:c>
      <x:c r="C54" s="3" t="str">
        <x:v>KW INDUSTRIES PTY LTD</x:v>
      </x:c>
      <x:c r="D54" s="3" t="str">
        <x:v>https://abr.business.gov.au/ABN/View?id=75634516475</x:v>
      </x:c>
      <x:c r="E54" s="3" t="str">
        <x:v>https://newyfab.com.au/</x:v>
      </x:c>
      <x:c r="F54" s="3" t="str">
        <x:v>Architectural and structural steel fabrication</x:v>
      </x:c>
      <x:c r="G54" s="3" t="str">
        <x:v>https://newyfab.com.au/</x:v>
      </x:c>
      <x:c r="H54" s="3" t="str"/>
      <x:c r="I54" s="3" t="str">
        <x:v>Additional researched business. Street address not published; locality only. Postcode not published. </x:v>
      </x:c>
      <x:c r="J54" s="12" t="str"/>
      <x:c r="K54" s="37"/>
      <x:c r="L54" s="37"/>
      <x:c r="M54" s="20" t="n">
        <x:v>360</x:v>
      </x:c>
    </x:row>
    <x:row r="55" ht="90" customHeight="1">
      <x:c r="A55" s="3" t="str">
        <x:v>OMP Laser and Sheetmetal</x:v>
      </x:c>
      <x:c r="B55" s="12" t="str">
        <x:v>70644229541</x:v>
      </x:c>
      <x:c r="C55" s="3" t="str">
        <x:v>OMP LMT PTY LTD</x:v>
      </x:c>
      <x:c r="D55" s="3" t="str">
        <x:v>https://abr.business.gov.au/ABN/View?id=70644229541</x:v>
      </x:c>
      <x:c r="E55" s="3" t="str">
        <x:v>https://www.omp.net.au/</x:v>
      </x:c>
      <x:c r="F55" s="3" t="str">
        <x:v>Mild and stainless steel laser cutting and fabrication</x:v>
      </x:c>
      <x:c r="G55" s="3" t="str">
        <x:v>https://www.omp.net.au/</x:v>
      </x:c>
      <x:c r="H55" s="3" t="str"/>
      <x:c r="I55" s="3" t="str">
        <x:v>Additional researched business. </x:v>
      </x:c>
      <x:c r="J55" s="12" t="str"/>
      <x:c r="K55" s="37"/>
      <x:c r="L55" s="37"/>
      <x:c r="M55" s="20" t="n">
        <x:v>1730</x:v>
      </x:c>
    </x:row>
    <x:row r="56" ht="90" customHeight="1">
      <x:c r="A56" s="3" t="str">
        <x:v>OVERALL FORGE PTY LTD</x:v>
      </x:c>
      <x:c r="B56" s="12" t="str">
        <x:v>13000092946</x:v>
      </x:c>
      <x:c r="C56" s="3" t="str"/>
      <x:c r="D56" s="3" t="str">
        <x:v>http://www.npi.gov.au/npidata/action/load/individual-facility-detail/criteria/state/NSW/year/2025/jurisdiction-facility/1423</x:v>
      </x:c>
      <x:c r="E56" s="3" t="str">
        <x:v>http://www.npi.gov.au/npidata/action/load/individual-facility-detail/criteria/state/NSW/year/2025/jurisdiction-facility/1423</x:v>
      </x:c>
      <x:c r="F56" s="3" t="str">
        <x:v>Forging and machining of steel billets for the mining, petrochemical and aeronautical industries</x:v>
      </x:c>
      <x:c r="G56" s="3" t="str">
        <x:v>http://www.npi.gov.au/npidata/action/load/individual-facility-detail/criteria/state/NSW/year/2025/jurisdiction-facility/1423</x:v>
      </x:c>
      <x:c r="H56" s="3" t="str"/>
      <x:c r="I56" s="3" t="str">
        <x:v>Original NPI record; latest report 2024/2025</x:v>
      </x:c>
      <x:c r="J56" s="12" t="str">
        <x:v>611954</x:v>
      </x:c>
      <x:c r="K56" s="37" t="n">
        <x:v>-36.00252</x:v>
      </x:c>
      <x:c r="L56" s="37" t="n">
        <x:v>146.985844</x:v>
      </x:c>
      <x:c r="M56" s="20" t="n">
        <x:v>410</x:v>
      </x:c>
    </x:row>
    <x:row r="57" ht="90" customHeight="1">
      <x:c r="A57" s="3" t="str">
        <x:v>Picton Bros Panelspan</x:v>
      </x:c>
      <x:c r="B57" s="12" t="str">
        <x:v>40139721635</x:v>
      </x:c>
      <x:c r="C57" s="3" t="str">
        <x:v>The Trustee for PICTON BROS UNIT TRUST</x:v>
      </x:c>
      <x:c r="D57" s="3" t="str">
        <x:v>https://abr.business.gov.au/ABN/View/40139721635</x:v>
      </x:c>
      <x:c r="E57" s="3" t="str">
        <x:v>https://pictonbros.com.au/who-we-are/</x:v>
      </x:c>
      <x:c r="F57" s="3" t="str">
        <x:v>Manufacturing steel outdoor building components</x:v>
      </x:c>
      <x:c r="G57" s="3" t="str">
        <x:v>https://pictonbros.com.au/who-we-are/</x:v>
      </x:c>
      <x:c r="H57" s="3" t="str"/>
      <x:c r="I57" s="3" t="str">
        <x:v>Additional researched business. Steel trim may be coated or part of composite panels; confirm separation. ABN belongs to a unit trust.</x:v>
      </x:c>
      <x:c r="J57" s="12" t="str"/>
      <x:c r="K57" s="37"/>
      <x:c r="L57" s="37"/>
      <x:c r="M57" s="20" t="n">
        <x:v>300</x:v>
      </x:c>
    </x:row>
    <x:row r="58" ht="90" customHeight="1">
      <x:c r="A58" s="3" t="str">
        <x:v>PLATINUM Fabrication &amp; Engineering</x:v>
      </x:c>
      <x:c r="B58" s="12" t="str">
        <x:v>67636520315</x:v>
      </x:c>
      <x:c r="C58" s="3" t="str">
        <x:v>PLATINUM FABRICATION &amp; ENGINEERING PTY LTD</x:v>
      </x:c>
      <x:c r="D58" s="3" t="str">
        <x:v>https://abr.business.gov.au/ABN/View/67636520315</x:v>
      </x:c>
      <x:c r="E58" s="3" t="str">
        <x:v>https://www.platinumfe.com.au/contact</x:v>
      </x:c>
      <x:c r="F58" s="3" t="str">
        <x:v>Steel fabrication and welding</x:v>
      </x:c>
      <x:c r="G58" s="3" t="str">
        <x:v>https://www.platinumfe.com.au/contact</x:v>
      </x:c>
      <x:c r="H58" s="3" t="str"/>
      <x:c r="I58" s="3" t="str">
        <x:v>Additional researched business. </x:v>
      </x:c>
      <x:c r="J58" s="12" t="str"/>
      <x:c r="K58" s="37"/>
      <x:c r="L58" s="37"/>
      <x:c r="M58" s="20" t="n">
        <x:v>410</x:v>
      </x:c>
    </x:row>
    <x:row r="59" ht="90" customHeight="1">
      <x:c r="A59" s="3" t="str">
        <x:v>Primmer Steel</x:v>
      </x:c>
      <x:c r="B59" s="12" t="str">
        <x:v>56160398210</x:v>
      </x:c>
      <x:c r="C59" s="3" t="str"/>
      <x:c r="D59" s="3" t="str">
        <x:v>https://www.primmersteel.com.au/about-us</x:v>
      </x:c>
      <x:c r="E59" s="3" t="str">
        <x:v>https://www.primmersteel.com.au/about-us</x:v>
      </x:c>
      <x:c r="F59" s="3" t="str">
        <x:v>Structural steel fabrication</x:v>
      </x:c>
      <x:c r="G59" s="3" t="str">
        <x:v>https://www.primmersteel.com.au/about-us</x:v>
      </x:c>
      <x:c r="H59" s="3" t="str"/>
      <x:c r="I59" s="3" t="str">
        <x:v>Additional researched business. </x:v>
      </x:c>
      <x:c r="J59" s="12" t="str"/>
      <x:c r="K59" s="37"/>
      <x:c r="L59" s="37"/>
      <x:c r="M59" s="20" t="n">
        <x:v>360</x:v>
      </x:c>
    </x:row>
    <x:row r="60" ht="90" customHeight="1">
      <x:c r="A60" s="3" t="str">
        <x:v>Pro Steel Engineering &amp; Fabrication</x:v>
      </x:c>
      <x:c r="B60" s="12" t="str">
        <x:v>29663907524</x:v>
      </x:c>
      <x:c r="C60" s="3" t="str">
        <x:v>GEORGE PHILLIP HOLDINGS PTY LIMITED</x:v>
      </x:c>
      <x:c r="D60" s="3" t="str">
        <x:v>https://abr.business.gov.au/ABN/View?id=29663907524</x:v>
      </x:c>
      <x:c r="E60" s="3" t="str">
        <x:v>https://prosteelengineering.com.au/contact-information/</x:v>
      </x:c>
      <x:c r="F60" s="3" t="str">
        <x:v>Steel fabrication and engineering</x:v>
      </x:c>
      <x:c r="G60" s="3" t="str">
        <x:v>https://prosteelengineering.com.au/contact-information/</x:v>
      </x:c>
      <x:c r="H60" s="3" t="str"/>
      <x:c r="I60" s="3" t="str">
        <x:v>Additional researched business. </x:v>
      </x:c>
      <x:c r="J60" s="12" t="str"/>
      <x:c r="K60" s="37"/>
      <x:c r="L60" s="37"/>
      <x:c r="M60" s="20" t="n">
        <x:v>300</x:v>
      </x:c>
    </x:row>
    <x:row r="61" ht="90" customHeight="1">
      <x:c r="A61" s="3" t="str">
        <x:v>Prysmian Australia</x:v>
      </x:c>
      <x:c r="B61" s="12" t="str">
        <x:v>36096594080</x:v>
      </x:c>
      <x:c r="C61" s="3" t="str">
        <x:v>PRYSMIAN AUSTRALIA PTY LTD</x:v>
      </x:c>
      <x:c r="D61" s="3" t="str">
        <x:v>https://abr.business.gov.au/ABN/View?abn=36096594080</x:v>
      </x:c>
      <x:c r="E61" s="3" t="str">
        <x:v>https://australia.prysmian.com/contact-us</x:v>
      </x:c>
      <x:c r="F61" s="3" t="str">
        <x:v>Electrical cable manufacturing</x:v>
      </x:c>
      <x:c r="G61" s="3" t="str">
        <x:v>https://australia.prysmian.com/about-us/prysmian-group-in-country</x:v>
      </x:c>
      <x:c r="H61" s="3" t="str">
        <x:v>http://www.npi.gov.au/npidata/action/load/individual-facility-detail/criteria/state/NSW/year/2025/jurisdiction-facility/994</x:v>
      </x:c>
      <x:c r="I61" s="3" t="str">
        <x:v>New business verified using its website and ABN Lookup.</x:v>
      </x:c>
      <x:c r="J61" s="12" t="str">
        <x:v>496314</x:v>
      </x:c>
      <x:c r="K61" s="37" t="n">
        <x:v>-33.926643</x:v>
      </x:c>
      <x:c r="L61" s="37" t="n">
        <x:v>150.928931</x:v>
      </x:c>
      <x:c r="M61" s="20" t="n">
        <x:v>9420</x:v>
      </x:c>
    </x:row>
    <x:row r="62" ht="90" customHeight="1">
      <x:c r="A62" s="3" t="str">
        <x:v>RHEEM AUSTRALIA PTY LTD</x:v>
      </x:c>
      <x:c r="B62" s="12" t="str">
        <x:v>21098823511</x:v>
      </x:c>
      <x:c r="C62" s="3" t="str">
        <x:v>RHEEM AUSTRALIA PTY LIMITED</x:v>
      </x:c>
      <x:c r="D62" s="3" t="str">
        <x:v>https://abr.business.gov.au/ABN/View?id=21098823511</x:v>
      </x:c>
      <x:c r="E62" s="3" t="str">
        <x:v>http://www.npi.gov.au/npidata/action/load/individual-facility-detail/criteria/state/NSW/year/2025/jurisdiction-facility/1498</x:v>
      </x:c>
      <x:c r="F62" s="3" t="str">
        <x:v>Manufacture of Electric, Gas, Solar and Heat Pump Hot Water Heaters</x:v>
      </x:c>
      <x:c r="G62" s="3" t="str">
        <x:v>https://www.bluescopedistribution.com.au/case-study/bluescope-and-rheem-manufacturing-long-term-for-australia/</x:v>
      </x:c>
      <x:c r="H62" s="3" t="str"/>
      <x:c r="I62" s="3" t="str">
        <x:v>Original NPI record; latest report 2024/2025</x:v>
      </x:c>
      <x:c r="J62" s="12" t="str">
        <x:v>639970</x:v>
      </x:c>
      <x:c r="K62" s="37" t="n">
        <x:v>-33.815333</x:v>
      </x:c>
      <x:c r="L62" s="37" t="n">
        <x:v>151.029417</x:v>
      </x:c>
      <x:c r="M62" s="20" t="n">
        <x:v>300</x:v>
      </x:c>
    </x:row>
    <x:row r="63" ht="90" customHeight="1">
      <x:c r="A63" s="3" t="str">
        <x:v>SCF Industries</x:v>
      </x:c>
      <x:c r="B63" s="12" t="str">
        <x:v>70161953537</x:v>
      </x:c>
      <x:c r="C63" s="3" t="str"/>
      <x:c r="D63" s="3" t="str">
        <x:v>https://www.scfindustries.com.au/contact</x:v>
      </x:c>
      <x:c r="E63" s="3" t="str">
        <x:v>https://www.scfindustries.com.au/contact</x:v>
      </x:c>
      <x:c r="F63" s="3" t="str">
        <x:v>Steel fabrication and welding</x:v>
      </x:c>
      <x:c r="G63" s="3" t="str">
        <x:v>https://www.scfindustries.com.au/contact</x:v>
      </x:c>
      <x:c r="H63" s="3" t="str"/>
      <x:c r="I63" s="3" t="str">
        <x:v>Additional researched business. </x:v>
      </x:c>
      <x:c r="J63" s="12" t="str"/>
      <x:c r="K63" s="37"/>
      <x:c r="L63" s="37"/>
      <x:c r="M63" s="20" t="n">
        <x:v>410</x:v>
      </x:c>
    </x:row>
    <x:row r="64" ht="90" customHeight="1">
      <x:c r="A64" s="3" t="str">
        <x:v>Sidney &amp; Hacking</x:v>
      </x:c>
      <x:c r="B64" s="12" t="str">
        <x:v>43664504983</x:v>
      </x:c>
      <x:c r="C64" s="3" t="str">
        <x:v>SIDNEY &amp; HACKING PTY LTD</x:v>
      </x:c>
      <x:c r="D64" s="3" t="str">
        <x:v>https://abr.business.gov.au/ABN/View?abn=43664504983</x:v>
      </x:c>
      <x:c r="E64" s="3" t="str">
        <x:v>https://www.lismoreplumbers.com.au/laser-cutting/</x:v>
      </x:c>
      <x:c r="F64" s="3" t="str">
        <x:v>Stainless steel sheetmetal fabrication and laser cutting</x:v>
      </x:c>
      <x:c r="G64" s="3" t="str">
        <x:v>https://www.lismoreplumbers.com.au/laser-cutting/</x:v>
      </x:c>
      <x:c r="H64" s="3" t="str"/>
      <x:c r="I64" s="3" t="str">
        <x:v>Additional researched business. </x:v>
      </x:c>
      <x:c r="J64" s="12" t="str"/>
      <x:c r="K64" s="37"/>
      <x:c r="L64" s="37"/>
      <x:c r="M64" s="20" t="n">
        <x:v>2430</x:v>
      </x:c>
    </x:row>
    <x:row r="65" ht="90" customHeight="1">
      <x:c r="A65" s="3" t="str">
        <x:v>Silver Raven</x:v>
      </x:c>
      <x:c r="B65" s="12" t="str">
        <x:v>58084884499</x:v>
      </x:c>
      <x:c r="C65" s="3" t="str">
        <x:v>SILVER RAVEN PTY LTD</x:v>
      </x:c>
      <x:c r="D65" s="3" t="str">
        <x:v>https://abr.business.gov.au/ABN/View/58084884499</x:v>
      </x:c>
      <x:c r="E65" s="3" t="str">
        <x:v>https://silverraven.com.au/service/fabrication/</x:v>
      </x:c>
      <x:c r="F65" s="3" t="str">
        <x:v>Structural and stainless steel fabrication</x:v>
      </x:c>
      <x:c r="G65" s="3" t="str">
        <x:v>https://silverraven.com.au/service/fabrication/</x:v>
      </x:c>
      <x:c r="H65" s="3" t="str"/>
      <x:c r="I65" s="3" t="str">
        <x:v>Additional researched business. Published contact office address; confirm fabrication or collection site.</x:v>
      </x:c>
      <x:c r="J65" s="12" t="str"/>
      <x:c r="K65" s="37"/>
      <x:c r="L65" s="37"/>
      <x:c r="M65" s="20" t="n">
        <x:v>2430</x:v>
      </x:c>
    </x:row>
    <x:row r="66" ht="90" customHeight="1">
      <x:c r="A66" s="3" t="str">
        <x:v>The Wagga Iron Foundry</x:v>
      </x:c>
      <x:c r="B66" s="12" t="str">
        <x:v>29102548309</x:v>
      </x:c>
      <x:c r="C66" s="3" t="str"/>
      <x:c r="D66" s="3" t="str">
        <x:v>https://www.waggaironfoundry.com.au/</x:v>
      </x:c>
      <x:c r="E66" s="3" t="str">
        <x:v>https://www.waggaironfoundry.com.au/</x:v>
      </x:c>
      <x:c r="F66" s="3" t="str">
        <x:v>Cast iron manufacturing</x:v>
      </x:c>
      <x:c r="G66" s="3" t="str">
        <x:v>https://www.waggaironfoundry.com.au/</x:v>
      </x:c>
      <x:c r="H66" s="3" t="str">
        <x:v>https://www.waggaironfoundry.com.au/</x:v>
      </x:c>
      <x:c r="I66" s="3" t="str">
        <x:v>Iron casting is confirmed. Steel scrap use for the furnace charge needs direct confirmation.</x:v>
      </x:c>
      <x:c r="J66" s="12" t="str"/>
      <x:c r="K66" s="37"/>
      <x:c r="L66" s="37"/>
      <x:c r="M66" s="20" t="n">
        <x:v>360</x:v>
      </x:c>
    </x:row>
    <x:row r="67" ht="90" customHeight="1">
      <x:c r="A67" s="3" t="str">
        <x:v>Tusken Engineering</x:v>
      </x:c>
      <x:c r="B67" s="12" t="str">
        <x:v>38328105632</x:v>
      </x:c>
      <x:c r="C67" s="3" t="str">
        <x:v>The Trustee for PS Crutcher Family Trust</x:v>
      </x:c>
      <x:c r="D67" s="3" t="str">
        <x:v>https://abr.business.gov.au/ABN/View?abn=38328105632</x:v>
      </x:c>
      <x:c r="E67" s="3" t="str">
        <x:v>https://tuskenengineering.com.au/laser-and-profiling/</x:v>
      </x:c>
      <x:c r="F67" s="3" t="str">
        <x:v>Steel laser, plasma and oxy cutting</x:v>
      </x:c>
      <x:c r="G67" s="3" t="str">
        <x:v>https://tuskenengineering.com.au/laser-and-profiling/</x:v>
      </x:c>
      <x:c r="H67" s="3" t="str"/>
      <x:c r="I67" s="3" t="str">
        <x:v>Additional researched business. ABN entity is a family trust; business name is Tusken Engineering.</x:v>
      </x:c>
      <x:c r="J67" s="12" t="str"/>
      <x:c r="K67" s="37"/>
      <x:c r="L67" s="37"/>
      <x:c r="M67" s="20" t="n">
        <x:v>410</x:v>
      </x:c>
    </x:row>
    <x:row r="68" ht="90" customHeight="1">
      <x:c r="A68" s="3" t="str">
        <x:v>Tyree Transformers</x:v>
      </x:c>
      <x:c r="B68" s="12" t="str">
        <x:v>12100920063</x:v>
      </x:c>
      <x:c r="C68" s="3" t="str">
        <x:v>TYREE TRANSFORMERS PTY LTD</x:v>
      </x:c>
      <x:c r="D68" s="3" t="str">
        <x:v>https://abr.business.gov.au/ABN/View?id=12100920063</x:v>
      </x:c>
      <x:c r="E68" s="3" t="str">
        <x:v>https://www.tyree.com.au/contact-us</x:v>
      </x:c>
      <x:c r="F68" s="3" t="str">
        <x:v>Transformer and substation manufacturing</x:v>
      </x:c>
      <x:c r="G68" s="3" t="str">
        <x:v>https://www.tyree.com.au/</x:v>
      </x:c>
      <x:c r="H68" s="3" t="str"/>
      <x:c r="I68" s="3" t="str">
        <x:v>New business verified using its website and ABN Lookup.ABR current legal name is Tyree Transformers; older Tyree materials use Tyree Industries.</x:v>
      </x:c>
      <x:c r="J68" s="12" t="str"/>
      <x:c r="K68" s="37"/>
      <x:c r="L68" s="37"/>
      <x:c r="M68" s="20" t="n">
        <x:v>9420</x:v>
      </x:c>
    </x:row>
    <x:row r="69" ht="90" customHeight="1">
      <x:c r="A69" s="3" t="str">
        <x:v>VIP STEEL PACKAGING PTY LTD</x:v>
      </x:c>
      <x:c r="B69" s="12" t="str">
        <x:v>22095314195</x:v>
      </x:c>
      <x:c r="C69" s="3" t="str">
        <x:v>VIP STEEL PACKAGING PTY LTD</x:v>
      </x:c>
      <x:c r="D69" s="3" t="str">
        <x:v>https://abr.business.gov.au/ABN/View?abn=22095314195</x:v>
      </x:c>
      <x:c r="E69" s="3" t="str">
        <x:v>http://www.npi.gov.au/npidata/action/load/individual-facility-detail/criteria/state/NSW/year/2025/jurisdiction-facility/937</x:v>
      </x:c>
      <x:c r="F69" s="3" t="str">
        <x:v>Steel packaging manufacturing, including steel coating.</x:v>
      </x:c>
      <x:c r="G69" s="3" t="str">
        <x:v>http://www.npi.gov.au/npidata/action/load/individual-facility-detail/criteria/state/NSW/year/2025/jurisdiction-facility/937</x:v>
      </x:c>
      <x:c r="H69" s="3" t="str"/>
      <x:c r="I69" s="3" t="str">
        <x:v>Original NPI record; latest report 2024/2025</x:v>
      </x:c>
      <x:c r="J69" s="12" t="str">
        <x:v>495896</x:v>
      </x:c>
      <x:c r="K69" s="37" t="n">
        <x:v>-33.868082</x:v>
      </x:c>
      <x:c r="L69" s="37" t="n">
        <x:v>151.009209</x:v>
      </x:c>
      <x:c r="M69" s="20" t="n">
        <x:v>360</x:v>
      </x:c>
    </x:row>
    <x:row r="70" ht="90" customHeight="1">
      <x:c r="A70" s="3" t="str">
        <x:v>Wagga Engineering &amp; Fabrication</x:v>
      </x:c>
      <x:c r="B70" s="12" t="str">
        <x:v>77621388814</x:v>
      </x:c>
      <x:c r="C70" s="3" t="str">
        <x:v>WAGGA ENGINEERING PTY LTD</x:v>
      </x:c>
      <x:c r="D70" s="3" t="str">
        <x:v>https://abr.business.gov.au/ABN/View/77621388814</x:v>
      </x:c>
      <x:c r="E70" s="3" t="str">
        <x:v>https://www.waggaengineering.com.au/</x:v>
      </x:c>
      <x:c r="F70" s="3" t="str">
        <x:v>Mild and stainless steel fabrication and machining</x:v>
      </x:c>
      <x:c r="G70" s="3" t="str">
        <x:v>https://www.waggaengineering.com.au/</x:v>
      </x:c>
      <x:c r="H70" s="3" t="str"/>
      <x:c r="I70" s="3" t="str">
        <x:v>Additional researched business. Street address not published; locality only. Postcode not published. </x:v>
      </x:c>
      <x:c r="J70" s="12" t="str"/>
      <x:c r="K70" s="37"/>
      <x:c r="L70" s="37"/>
      <x:c r="M70" s="20" t="n">
        <x:v>1730</x:v>
      </x:c>
    </x:row>
    <x:row r="71" ht="90" customHeight="1">
      <x:c r="A71" s="3" t="str">
        <x:v>WEIR MINERALS AUSTRALIA LTD</x:v>
      </x:c>
      <x:c r="B71" s="12" t="str">
        <x:v>69009701802</x:v>
      </x:c>
      <x:c r="C71" s="3" t="str">
        <x:v>WEIR MINERALS AUSTRALIA LTD</x:v>
      </x:c>
      <x:c r="D71" s="3" t="str">
        <x:v>https://abr.business.gov.au/ABN/View?abn=69009701802</x:v>
      </x:c>
      <x:c r="E71" s="3" t="str">
        <x:v>http://www.npi.gov.au/npidata/action/load/individual-facility-detail/criteria/state/NSW/year/2025/jurisdiction-facility/543</x:v>
      </x:c>
      <x:c r="F71" s="3" t="str">
        <x:v>Pattern making; iron and steel melting and casting; Mould making; Heat treatment and machining; Manufacture of patterns used in foundry; Manufacture of rubber; Manufacture of Elastomers, Painting.</x:v>
      </x:c>
      <x:c r="G71" s="3" t="str">
        <x:v>https://www.global.weir/campaigns/imarc-tour-2023/</x:v>
      </x:c>
      <x:c r="H71" s="3" t="str"/>
      <x:c r="I71" s="3" t="str">
        <x:v>Original NPI record; latest report 2024/2025Also listed as a potential producer because machining may generate scrap.</x:v>
      </x:c>
      <x:c r="J71" s="12" t="str">
        <x:v>490698</x:v>
      </x:c>
      <x:c r="K71" s="37" t="n">
        <x:v>-33.814285</x:v>
      </x:c>
      <x:c r="L71" s="37" t="n">
        <x:v>151.179437</x:v>
      </x:c>
      <x:c r="M71" s="20" t="n">
        <x:v>2360</x:v>
      </x:c>
    </x:row>
  </x:sheetData>
  <x:mergeCells>
    <x:mergeCell ref="A1:E1"/>
    <x:mergeCell ref="A2:E2"/>
    <x:mergeCell ref="A3:E3"/>
    <x:mergeCell ref="A4:E4"/>
    <x:mergeCell ref="A5:E5"/>
    <x:mergeCell ref="A6:E6"/>
    <x:mergeCell ref="A7:E7"/>
    <x:mergeCell ref="A8:E8"/>
  </x:mergeCells>
  <x:pageMargins left="0.7" right="0.7" top="0.75" bottom="0.75" header="0.3" footer="0.3"/>
  <x:tableParts count="1">
    <x:tablePart xmlns:r="http://schemas.openxmlformats.org/officeDocument/2006/relationships" r:id="Rf7d676082426479a"/>
  </x:tableParts>
</x:worksheet>
</file>